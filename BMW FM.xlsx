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imlias\Desktop\"/>
    </mc:Choice>
  </mc:AlternateContent>
  <xr:revisionPtr revIDLastSave="0" documentId="13_ncr:1_{31FDB131-9E3C-4060-B5BA-289A36A57B49}" xr6:coauthVersionLast="47" xr6:coauthVersionMax="47" xr10:uidLastSave="{00000000-0000-0000-0000-000000000000}"/>
  <bookViews>
    <workbookView xWindow="22932" yWindow="-108" windowWidth="23256" windowHeight="14616" activeTab="4" xr2:uid="{022E72CC-39CF-465E-B767-4AA928441E8D}"/>
  </bookViews>
  <sheets>
    <sheet name="Executive Summary" sheetId="1" r:id="rId1"/>
    <sheet name="P&amp;L" sheetId="2" r:id="rId2"/>
    <sheet name="Revenue Breakdown" sheetId="3" r:id="rId3"/>
    <sheet name="Cash Flow" sheetId="4" r:id="rId4"/>
    <sheet name="Balance Shee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2" l="1"/>
  <c r="H9" i="2"/>
  <c r="H8" i="2"/>
  <c r="F8" i="4"/>
  <c r="D7" i="4"/>
  <c r="H8" i="4"/>
  <c r="D5" i="4"/>
  <c r="B36" i="3"/>
  <c r="H5" i="2" s="1"/>
  <c r="B3" i="1"/>
  <c r="J11" i="6"/>
  <c r="O10" i="6"/>
  <c r="M10" i="6"/>
  <c r="K10" i="6"/>
  <c r="F11" i="6"/>
  <c r="D11" i="6"/>
  <c r="H7" i="2"/>
  <c r="H6" i="2"/>
  <c r="E12" i="2"/>
  <c r="E10" i="2"/>
  <c r="N24" i="3"/>
  <c r="N25" i="3"/>
  <c r="N23" i="3"/>
  <c r="C26" i="3"/>
  <c r="D26" i="3"/>
  <c r="E26" i="3"/>
  <c r="F26" i="3"/>
  <c r="G26" i="3"/>
  <c r="H26" i="3"/>
  <c r="I26" i="3"/>
  <c r="J26" i="3"/>
  <c r="K26" i="3"/>
  <c r="L26" i="3"/>
  <c r="M26" i="3"/>
  <c r="B26" i="3"/>
  <c r="N14" i="3"/>
  <c r="N15" i="3"/>
  <c r="N16" i="3"/>
  <c r="N13" i="3"/>
  <c r="C17" i="3"/>
  <c r="D17" i="3"/>
  <c r="E17" i="3"/>
  <c r="F17" i="3"/>
  <c r="G17" i="3"/>
  <c r="H17" i="3"/>
  <c r="I17" i="3"/>
  <c r="J17" i="3"/>
  <c r="K17" i="3"/>
  <c r="L17" i="3"/>
  <c r="M17" i="3"/>
  <c r="B17" i="3"/>
  <c r="N6" i="3"/>
  <c r="N5" i="3"/>
  <c r="N4" i="3"/>
  <c r="C7" i="3"/>
  <c r="D7" i="3"/>
  <c r="E7" i="3"/>
  <c r="F7" i="3"/>
  <c r="G7" i="3"/>
  <c r="H7" i="3"/>
  <c r="I7" i="3"/>
  <c r="J7" i="3"/>
  <c r="K7" i="3"/>
  <c r="L7" i="3"/>
  <c r="M7" i="3"/>
  <c r="B7" i="3"/>
  <c r="D8" i="4" l="1"/>
  <c r="C10" i="4"/>
  <c r="C12" i="6"/>
  <c r="E6" i="2"/>
  <c r="E7" i="2" s="1"/>
  <c r="N26" i="3"/>
  <c r="N7" i="3"/>
  <c r="E5" i="2" s="1"/>
  <c r="N17" i="3"/>
  <c r="E9" i="2" l="1"/>
  <c r="E8" i="2"/>
  <c r="E11" i="2"/>
  <c r="E13" i="2" s="1"/>
  <c r="E14" i="2" s="1"/>
  <c r="E15" i="2" s="1"/>
</calcChain>
</file>

<file path=xl/sharedStrings.xml><?xml version="1.0" encoding="utf-8"?>
<sst xmlns="http://schemas.openxmlformats.org/spreadsheetml/2006/main" count="127" uniqueCount="95">
  <si>
    <t>BMW Group (FY 2023)</t>
  </si>
  <si>
    <t>Revenue:</t>
  </si>
  <si>
    <t>Automotive EBIT margin:</t>
  </si>
  <si>
    <t>Revenue</t>
  </si>
  <si>
    <t>Cost of Sales</t>
  </si>
  <si>
    <t>Gross Profit</t>
  </si>
  <si>
    <t>Selling &amp; Administrative Expenses</t>
  </si>
  <si>
    <t>Research &amp; Development Expenses</t>
  </si>
  <si>
    <t>Other Operating Income / Expenses (net)</t>
  </si>
  <si>
    <t>Operating Profit (EBIT)</t>
  </si>
  <si>
    <t>Financial Result</t>
  </si>
  <si>
    <t>Profit Before Tax (EBT)</t>
  </si>
  <si>
    <t>Income Taxes</t>
  </si>
  <si>
    <t>Net Profit</t>
  </si>
  <si>
    <t>Segment \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</si>
  <si>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</si>
  <si>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</si>
  <si>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</si>
  <si>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</si>
  <si>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</si>
  <si>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</si>
  <si>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</si>
  <si>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</si>
  <si>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</si>
  <si>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</si>
  <si>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</si>
  <si>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</si>
  <si>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</t>
  </si>
  <si>
    <t>Automotive</t>
  </si>
  <si>
    <t>Financial Services</t>
  </si>
  <si>
    <t>Motorcycles</t>
  </si>
  <si>
    <t>Total Revenue</t>
  </si>
  <si>
    <t>Region \ Month</t>
  </si>
  <si>
    <t>Europe</t>
  </si>
  <si>
    <t>Asia</t>
  </si>
  <si>
    <t>Americas</t>
  </si>
  <si>
    <t>Other regions</t>
  </si>
  <si>
    <t>Product \ Month</t>
  </si>
  <si>
    <t>ICE Vehicles</t>
  </si>
  <si>
    <t>Electric / Hybrid</t>
  </si>
  <si>
    <t>MINI &amp; Compact</t>
  </si>
  <si>
    <t>Total Automotive</t>
  </si>
  <si>
    <t>Revenue by Business Segment</t>
  </si>
  <si>
    <t>Revenue by Region</t>
  </si>
  <si>
    <t>Automotive Revenue by Product Type</t>
  </si>
  <si>
    <t>* All data shown in Billion of EUR</t>
  </si>
  <si>
    <t>Gross Margin:</t>
  </si>
  <si>
    <t>SG&amp;A:</t>
  </si>
  <si>
    <t>R&amp;D:</t>
  </si>
  <si>
    <t>Other Operating:</t>
  </si>
  <si>
    <t>Financial Result:</t>
  </si>
  <si>
    <t>Tax Rate:</t>
  </si>
  <si>
    <t>Assumptions</t>
  </si>
  <si>
    <t>D&amp;A</t>
  </si>
  <si>
    <t>EBITDA</t>
  </si>
  <si>
    <t>EBIT Margin</t>
  </si>
  <si>
    <t>Net Margin</t>
  </si>
  <si>
    <t>ASSETS</t>
  </si>
  <si>
    <t>Non-current Assets</t>
  </si>
  <si>
    <t>Current Assets</t>
  </si>
  <si>
    <t>Property, Plant &amp; Equipment (PPE)</t>
  </si>
  <si>
    <t>Intangible Assets</t>
  </si>
  <si>
    <t>Other non-current assets</t>
  </si>
  <si>
    <t>Inventory</t>
  </si>
  <si>
    <t>Trade Receivables</t>
  </si>
  <si>
    <t>Cash &amp; Cash Equivalents</t>
  </si>
  <si>
    <t>Other current assets</t>
  </si>
  <si>
    <t>EQUITY &amp; LIABILITIES</t>
  </si>
  <si>
    <t>Equity</t>
  </si>
  <si>
    <t>Non-current Liabilities</t>
  </si>
  <si>
    <t>Current Liabilities</t>
  </si>
  <si>
    <t>Share Capital</t>
  </si>
  <si>
    <t>Retained Earnings</t>
  </si>
  <si>
    <t>Other equity</t>
  </si>
  <si>
    <t>Long-term Debt</t>
  </si>
  <si>
    <t>Pension &amp; Provisions</t>
  </si>
  <si>
    <t>Other long-term liabilities</t>
  </si>
  <si>
    <t>Trade Payables</t>
  </si>
  <si>
    <t>Short-term Debt</t>
  </si>
  <si>
    <t>Other current liabilities</t>
  </si>
  <si>
    <t>CFO</t>
  </si>
  <si>
    <t>Depreciation &amp; Amortization</t>
  </si>
  <si>
    <t>Change in Working Capital</t>
  </si>
  <si>
    <t>NET CASH CFO</t>
  </si>
  <si>
    <t>CFI</t>
  </si>
  <si>
    <t>Capital Expenditures (CapEx)</t>
  </si>
  <si>
    <t>NET  CASH CFI</t>
  </si>
  <si>
    <t>CFF</t>
  </si>
  <si>
    <t>Dividends Paid</t>
  </si>
  <si>
    <t>Net Debt Repayment</t>
  </si>
  <si>
    <t>NET CASH CFF</t>
  </si>
  <si>
    <t>NET CHANGE CASH</t>
  </si>
  <si>
    <t>ROI</t>
  </si>
  <si>
    <t>ROCE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</si>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</sst>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0" fillId="3" borderId="0" xfId="0" applyFill="1"/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165" fontId="0" fillId="0" borderId="1" xfId="1" applyNumberFormat="1" applyFont="1" applyBorder="1"/>
    <xf numFmtId="164" fontId="0" fillId="0" borderId="1" xfId="1" applyNumberFormat="1" applyFont="1" applyBorder="1"/>
    <xf numFmtId="0" fontId="0" fillId="0" borderId="6" xfId="0" applyBorder="1"/>
    <xf numFmtId="0" fontId="2" fillId="0" borderId="7" xfId="0" applyFont="1" applyBorder="1" applyAlignment="1">
      <alignment wrapText="1"/>
    </xf>
    <xf numFmtId="164" fontId="2" fillId="0" borderId="8" xfId="0" applyNumberFormat="1" applyFont="1" applyBorder="1" applyAlignment="1">
      <alignment horizontal="right" wrapText="1"/>
    </xf>
    <xf numFmtId="0" fontId="0" fillId="0" borderId="9" xfId="0" applyBorder="1" applyAlignment="1">
      <alignment wrapText="1"/>
    </xf>
    <xf numFmtId="164" fontId="0" fillId="0" borderId="10" xfId="0" applyNumberFormat="1" applyBorder="1" applyAlignment="1">
      <alignment horizontal="right" wrapText="1"/>
    </xf>
    <xf numFmtId="0" fontId="0" fillId="0" borderId="11" xfId="0" applyBorder="1" applyAlignment="1">
      <alignment wrapText="1"/>
    </xf>
    <xf numFmtId="164" fontId="0" fillId="0" borderId="6" xfId="0" applyNumberFormat="1" applyBorder="1" applyAlignment="1">
      <alignment horizontal="right" wrapText="1"/>
    </xf>
    <xf numFmtId="0" fontId="2" fillId="0" borderId="9" xfId="0" applyFont="1" applyBorder="1" applyAlignment="1">
      <alignment wrapText="1"/>
    </xf>
    <xf numFmtId="164" fontId="2" fillId="0" borderId="10" xfId="0" applyNumberFormat="1" applyFont="1" applyBorder="1" applyAlignment="1">
      <alignment horizontal="right" wrapText="1"/>
    </xf>
    <xf numFmtId="0" fontId="0" fillId="2" borderId="0" xfId="0" applyFill="1" applyAlignment="1"/>
    <xf numFmtId="0" fontId="0" fillId="3" borderId="0" xfId="0" applyFill="1" applyAlignment="1"/>
    <xf numFmtId="0" fontId="4" fillId="0" borderId="0" xfId="0" applyFont="1" applyAlignment="1">
      <alignment vertical="center"/>
    </xf>
    <xf numFmtId="0" fontId="0" fillId="0" borderId="11" xfId="0" applyBorder="1"/>
    <xf numFmtId="164" fontId="0" fillId="0" borderId="6" xfId="0" applyNumberFormat="1" applyBorder="1"/>
    <xf numFmtId="0" fontId="2" fillId="0" borderId="9" xfId="0" applyFont="1" applyBorder="1"/>
    <xf numFmtId="164" fontId="2" fillId="0" borderId="10" xfId="0" applyNumberFormat="1" applyFont="1" applyBorder="1"/>
    <xf numFmtId="0" fontId="2" fillId="0" borderId="11" xfId="0" applyFont="1" applyBorder="1"/>
    <xf numFmtId="164" fontId="0" fillId="0" borderId="10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0" fontId="0" fillId="0" borderId="10" xfId="0" applyBorder="1"/>
    <xf numFmtId="10" fontId="0" fillId="0" borderId="6" xfId="1" applyNumberFormat="1" applyFont="1" applyBorder="1"/>
    <xf numFmtId="165" fontId="0" fillId="0" borderId="6" xfId="1" applyNumberFormat="1" applyFont="1" applyBorder="1"/>
    <xf numFmtId="165" fontId="0" fillId="0" borderId="10" xfId="1" applyNumberFormat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D186-4CB4-4144-991E-B0A715A06A23}">
  <dimension ref="A1:F17"/>
  <sheetViews>
    <sheetView showGridLines="0" zoomScaleNormal="100" workbookViewId="0">
      <selection sqref="A1:F2"/>
    </sheetView>
  </sheetViews>
  <sheetFormatPr defaultRowHeight="14.4" x14ac:dyDescent="0.3"/>
  <cols>
    <col min="1" max="1" width="20.44140625" bestFit="1" customWidth="1"/>
    <col min="2" max="2" width="10" bestFit="1" customWidth="1"/>
  </cols>
  <sheetData>
    <row r="1" spans="1:6" x14ac:dyDescent="0.3">
      <c r="A1" s="46" t="s">
        <v>0</v>
      </c>
      <c r="B1" s="46"/>
      <c r="C1" s="46"/>
      <c r="D1" s="46"/>
      <c r="E1" s="46"/>
      <c r="F1" s="46"/>
    </row>
    <row r="2" spans="1:6" x14ac:dyDescent="0.3">
      <c r="A2" s="46"/>
      <c r="B2" s="46"/>
      <c r="C2" s="46"/>
      <c r="D2" s="46"/>
      <c r="E2" s="46"/>
      <c r="F2" s="46"/>
    </row>
    <row r="3" spans="1:6" x14ac:dyDescent="0.3">
      <c r="A3" s="13" t="s">
        <v>1</v>
      </c>
      <c r="B3" s="14">
        <f>'P&amp;L'!E5</f>
        <v>154.99999999999997</v>
      </c>
    </row>
    <row r="4" spans="1:6" x14ac:dyDescent="0.3">
      <c r="A4" s="13" t="s">
        <v>2</v>
      </c>
      <c r="B4" s="15">
        <v>0.1</v>
      </c>
    </row>
    <row r="17" spans="1:2" x14ac:dyDescent="0.3">
      <c r="A17" s="47" t="s">
        <v>45</v>
      </c>
      <c r="B17" s="47"/>
    </row>
  </sheetData>
  <mergeCells count="2">
    <mergeCell ref="A1:F2"/>
    <mergeCell ref="A17:B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3A7C-FB7C-4274-B614-311B71D24F9A}">
  <dimension ref="D4:H19"/>
  <sheetViews>
    <sheetView showGridLines="0" workbookViewId="0">
      <selection activeCell="H10" sqref="H10"/>
    </sheetView>
  </sheetViews>
  <sheetFormatPr defaultRowHeight="14.4" x14ac:dyDescent="0.3"/>
  <cols>
    <col min="4" max="4" width="34.21875" customWidth="1"/>
    <col min="5" max="5" width="52.77734375" customWidth="1"/>
    <col min="7" max="7" width="10.21875" bestFit="1" customWidth="1"/>
  </cols>
  <sheetData>
    <row r="4" spans="4:8" ht="15" thickBot="1" x14ac:dyDescent="0.35"/>
    <row r="5" spans="4:8" ht="15" thickTop="1" x14ac:dyDescent="0.3">
      <c r="D5" s="19" t="s">
        <v>3</v>
      </c>
      <c r="E5" s="20">
        <f xml:space="preserve"> 'Revenue Breakdown'!N7</f>
        <v>154.99999999999997</v>
      </c>
      <c r="G5" s="43" t="s">
        <v>54</v>
      </c>
      <c r="H5" s="37">
        <f>E11+'Revenue Breakdown'!B36</f>
        <v>30.499999999999996</v>
      </c>
    </row>
    <row r="6" spans="4:8" ht="15" thickBot="1" x14ac:dyDescent="0.35">
      <c r="D6" s="21" t="s">
        <v>4</v>
      </c>
      <c r="E6" s="22">
        <f>E5 * (1-'Revenue Breakdown'!B31)</f>
        <v>120.89999999999998</v>
      </c>
      <c r="G6" s="44" t="s">
        <v>55</v>
      </c>
      <c r="H6" s="40">
        <f>E11/E5</f>
        <v>0.1064516129032258</v>
      </c>
    </row>
    <row r="7" spans="4:8" ht="15" thickTop="1" x14ac:dyDescent="0.3">
      <c r="D7" s="19" t="s">
        <v>5</v>
      </c>
      <c r="E7" s="20">
        <f>E5-E6</f>
        <v>34.099999999999994</v>
      </c>
      <c r="G7" s="44" t="s">
        <v>56</v>
      </c>
      <c r="H7" s="40">
        <f>E15/E5</f>
        <v>6.9625806451612898E-2</v>
      </c>
    </row>
    <row r="8" spans="4:8" x14ac:dyDescent="0.3">
      <c r="D8" s="23" t="s">
        <v>6</v>
      </c>
      <c r="E8" s="24">
        <f>E5*'Revenue Breakdown'!B32</f>
        <v>11.624999999999998</v>
      </c>
      <c r="G8" s="44" t="s">
        <v>92</v>
      </c>
      <c r="H8" s="40">
        <f>E15/125</f>
        <v>8.6335999999999982E-2</v>
      </c>
    </row>
    <row r="9" spans="4:8" x14ac:dyDescent="0.3">
      <c r="D9" s="23" t="s">
        <v>7</v>
      </c>
      <c r="E9" s="24">
        <f>E5*'Revenue Breakdown'!B33</f>
        <v>6.9749999999999988</v>
      </c>
      <c r="G9" s="44" t="s">
        <v>93</v>
      </c>
      <c r="H9" s="41">
        <f>E11/100</f>
        <v>0.16499999999999995</v>
      </c>
    </row>
    <row r="10" spans="4:8" ht="15" thickBot="1" x14ac:dyDescent="0.35">
      <c r="D10" s="21" t="s">
        <v>8</v>
      </c>
      <c r="E10" s="22">
        <f>'Revenue Breakdown'!B34</f>
        <v>1</v>
      </c>
      <c r="G10" s="45" t="s">
        <v>94</v>
      </c>
      <c r="H10" s="42">
        <f>E15/'Balance Sheet'!K10</f>
        <v>0.1660307692307692</v>
      </c>
    </row>
    <row r="11" spans="4:8" ht="15" thickTop="1" x14ac:dyDescent="0.3">
      <c r="D11" s="19" t="s">
        <v>9</v>
      </c>
      <c r="E11" s="20">
        <f>E7-E8-E9+E10</f>
        <v>16.499999999999996</v>
      </c>
    </row>
    <row r="12" spans="4:8" ht="15" thickBot="1" x14ac:dyDescent="0.35">
      <c r="D12" s="21" t="s">
        <v>10</v>
      </c>
      <c r="E12" s="22">
        <f>'Revenue Breakdown'!B35</f>
        <v>-1.3</v>
      </c>
    </row>
    <row r="13" spans="4:8" ht="15" thickTop="1" x14ac:dyDescent="0.3">
      <c r="D13" s="19" t="s">
        <v>11</v>
      </c>
      <c r="E13" s="20">
        <f>E11+E12</f>
        <v>15.199999999999996</v>
      </c>
    </row>
    <row r="14" spans="4:8" ht="15" thickBot="1" x14ac:dyDescent="0.35">
      <c r="D14" s="21" t="s">
        <v>12</v>
      </c>
      <c r="E14" s="22">
        <f>E13*'Revenue Breakdown'!B37</f>
        <v>4.4079999999999986</v>
      </c>
    </row>
    <row r="15" spans="4:8" ht="15.6" thickTop="1" thickBot="1" x14ac:dyDescent="0.35">
      <c r="D15" s="25" t="s">
        <v>13</v>
      </c>
      <c r="E15" s="26">
        <f>E13-E14</f>
        <v>10.791999999999998</v>
      </c>
    </row>
    <row r="16" spans="4:8" ht="15" thickTop="1" x14ac:dyDescent="0.3"/>
    <row r="19" spans="4:5" x14ac:dyDescent="0.3">
      <c r="D19" s="27" t="s">
        <v>45</v>
      </c>
      <c r="E19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DAD1-706A-4A73-8481-CA0436D63ADC}">
  <dimension ref="A1:N40"/>
  <sheetViews>
    <sheetView showGridLines="0" topLeftCell="A16" zoomScaleNormal="100" workbookViewId="0">
      <selection activeCell="A29" sqref="A29:B37"/>
    </sheetView>
  </sheetViews>
  <sheetFormatPr defaultRowHeight="14.4" x14ac:dyDescent="0.3"/>
  <cols>
    <col min="1" max="1" width="17" customWidth="1"/>
    <col min="2" max="2" width="8" bestFit="1" customWidth="1"/>
    <col min="3" max="9" width="7.5546875" bestFit="1" customWidth="1"/>
    <col min="10" max="10" width="7.5546875" customWidth="1"/>
    <col min="11" max="13" width="7.5546875" bestFit="1" customWidth="1"/>
    <col min="14" max="14" width="8.5546875" bestFit="1" customWidth="1"/>
  </cols>
  <sheetData>
    <row r="1" spans="1:14" x14ac:dyDescent="0.3">
      <c r="A1" s="48" t="s">
        <v>42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3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</row>
    <row r="4" spans="1:14" x14ac:dyDescent="0.3">
      <c r="A4" s="4" t="s">
        <v>28</v>
      </c>
      <c r="B4" s="5">
        <v>9.1999999999999993</v>
      </c>
      <c r="C4" s="5">
        <v>9.5</v>
      </c>
      <c r="D4" s="5">
        <v>11.3</v>
      </c>
      <c r="E4" s="5">
        <v>10</v>
      </c>
      <c r="F4" s="5">
        <v>11</v>
      </c>
      <c r="G4" s="5">
        <v>11.8</v>
      </c>
      <c r="H4" s="5">
        <v>10.5</v>
      </c>
      <c r="I4" s="5">
        <v>9.6</v>
      </c>
      <c r="J4" s="5">
        <v>11.3</v>
      </c>
      <c r="K4" s="5">
        <v>11.7</v>
      </c>
      <c r="L4" s="5">
        <v>12.1</v>
      </c>
      <c r="M4" s="5">
        <v>11.8</v>
      </c>
      <c r="N4" s="6">
        <f>SUM(B4:M4)</f>
        <v>129.79999999999998</v>
      </c>
    </row>
    <row r="5" spans="1:14" x14ac:dyDescent="0.3">
      <c r="A5" s="4" t="s">
        <v>29</v>
      </c>
      <c r="B5" s="5">
        <v>1.5</v>
      </c>
      <c r="C5" s="5">
        <v>1.7</v>
      </c>
      <c r="D5" s="5">
        <v>1.9</v>
      </c>
      <c r="E5" s="5">
        <v>1.7</v>
      </c>
      <c r="F5" s="5">
        <v>1.7</v>
      </c>
      <c r="G5" s="5">
        <v>1.9</v>
      </c>
      <c r="H5" s="5">
        <v>1.7</v>
      </c>
      <c r="I5" s="5">
        <v>1.6</v>
      </c>
      <c r="J5" s="5">
        <v>1.9</v>
      </c>
      <c r="K5" s="5">
        <v>2</v>
      </c>
      <c r="L5" s="5">
        <v>2.1</v>
      </c>
      <c r="M5" s="5">
        <v>1.9</v>
      </c>
      <c r="N5" s="6">
        <f>SUM(B5:M5)</f>
        <v>21.6</v>
      </c>
    </row>
    <row r="6" spans="1:14" x14ac:dyDescent="0.3">
      <c r="A6" s="4" t="s">
        <v>30</v>
      </c>
      <c r="B6" s="5">
        <v>0.3</v>
      </c>
      <c r="C6" s="5">
        <v>0.3</v>
      </c>
      <c r="D6" s="5">
        <v>0.3</v>
      </c>
      <c r="E6" s="5">
        <v>0.3</v>
      </c>
      <c r="F6" s="5">
        <v>0.3</v>
      </c>
      <c r="G6" s="5">
        <v>0.3</v>
      </c>
      <c r="H6" s="5">
        <v>0.3</v>
      </c>
      <c r="I6" s="5">
        <v>0.3</v>
      </c>
      <c r="J6" s="5">
        <v>0.3</v>
      </c>
      <c r="K6" s="5">
        <v>0.3</v>
      </c>
      <c r="L6" s="5">
        <v>0.3</v>
      </c>
      <c r="M6" s="5">
        <v>0.3</v>
      </c>
      <c r="N6" s="6">
        <f>SUM(B6:M6)</f>
        <v>3.5999999999999992</v>
      </c>
    </row>
    <row r="7" spans="1:14" x14ac:dyDescent="0.3">
      <c r="A7" s="4" t="s">
        <v>31</v>
      </c>
      <c r="B7" s="6">
        <f>SUM(B4:B6)</f>
        <v>11</v>
      </c>
      <c r="C7" s="6">
        <f t="shared" ref="C7:N7" si="0">SUM(C4:C6)</f>
        <v>11.5</v>
      </c>
      <c r="D7" s="6">
        <f t="shared" si="0"/>
        <v>13.500000000000002</v>
      </c>
      <c r="E7" s="6">
        <f t="shared" si="0"/>
        <v>12</v>
      </c>
      <c r="F7" s="6">
        <f t="shared" si="0"/>
        <v>13</v>
      </c>
      <c r="G7" s="6">
        <f t="shared" si="0"/>
        <v>14.000000000000002</v>
      </c>
      <c r="H7" s="6">
        <f t="shared" si="0"/>
        <v>12.5</v>
      </c>
      <c r="I7" s="6">
        <f t="shared" si="0"/>
        <v>11.5</v>
      </c>
      <c r="J7" s="6">
        <f t="shared" si="0"/>
        <v>13.500000000000002</v>
      </c>
      <c r="K7" s="6">
        <f t="shared" si="0"/>
        <v>14</v>
      </c>
      <c r="L7" s="6">
        <f t="shared" si="0"/>
        <v>14.5</v>
      </c>
      <c r="M7" s="6">
        <f t="shared" si="0"/>
        <v>14.000000000000002</v>
      </c>
      <c r="N7" s="6">
        <f t="shared" si="0"/>
        <v>154.99999999999997</v>
      </c>
    </row>
    <row r="8" spans="1:14" s="1" customFormat="1" x14ac:dyDescent="0.3"/>
    <row r="9" spans="1:14" s="1" customFormat="1" x14ac:dyDescent="0.3"/>
    <row r="10" spans="1:14" s="12" customFormat="1" x14ac:dyDescent="0.3">
      <c r="A10" s="50" t="s">
        <v>43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s="12" customFormat="1" x14ac:dyDescent="0.3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14" x14ac:dyDescent="0.3">
      <c r="A12" s="7" t="s">
        <v>32</v>
      </c>
      <c r="B12" s="8" t="s">
        <v>15</v>
      </c>
      <c r="C12" s="8" t="s">
        <v>16</v>
      </c>
      <c r="D12" s="8" t="s">
        <v>17</v>
      </c>
      <c r="E12" s="8" t="s">
        <v>18</v>
      </c>
      <c r="F12" s="8" t="s">
        <v>19</v>
      </c>
      <c r="G12" s="8" t="s">
        <v>20</v>
      </c>
      <c r="H12" s="8" t="s">
        <v>21</v>
      </c>
      <c r="I12" s="8" t="s">
        <v>22</v>
      </c>
      <c r="J12" s="8" t="s">
        <v>23</v>
      </c>
      <c r="K12" s="8" t="s">
        <v>24</v>
      </c>
      <c r="L12" s="8" t="s">
        <v>25</v>
      </c>
      <c r="M12" s="8" t="s">
        <v>26</v>
      </c>
      <c r="N12" s="8" t="s">
        <v>27</v>
      </c>
    </row>
    <row r="13" spans="1:14" x14ac:dyDescent="0.3">
      <c r="A13" s="9" t="s">
        <v>33</v>
      </c>
      <c r="B13" s="10">
        <v>3.8</v>
      </c>
      <c r="C13" s="10">
        <v>3.9</v>
      </c>
      <c r="D13" s="10">
        <v>4.5999999999999996</v>
      </c>
      <c r="E13" s="10">
        <v>4</v>
      </c>
      <c r="F13" s="10">
        <v>4.4000000000000004</v>
      </c>
      <c r="G13" s="10">
        <v>4.8</v>
      </c>
      <c r="H13" s="10">
        <v>4.2</v>
      </c>
      <c r="I13" s="10">
        <v>3.9</v>
      </c>
      <c r="J13" s="10">
        <v>4.5999999999999996</v>
      </c>
      <c r="K13" s="10">
        <v>4.8</v>
      </c>
      <c r="L13" s="10">
        <v>5</v>
      </c>
      <c r="M13" s="10">
        <v>4.9000000000000004</v>
      </c>
      <c r="N13" s="11">
        <f>SUM(B13:M13)</f>
        <v>52.899999999999991</v>
      </c>
    </row>
    <row r="14" spans="1:14" x14ac:dyDescent="0.3">
      <c r="A14" s="9" t="s">
        <v>34</v>
      </c>
      <c r="B14" s="10">
        <v>3.3</v>
      </c>
      <c r="C14" s="10">
        <v>3.4</v>
      </c>
      <c r="D14" s="10">
        <v>4.0999999999999996</v>
      </c>
      <c r="E14" s="10">
        <v>3.6</v>
      </c>
      <c r="F14" s="10">
        <v>3.8</v>
      </c>
      <c r="G14" s="10">
        <v>4.2</v>
      </c>
      <c r="H14" s="10">
        <v>3.8</v>
      </c>
      <c r="I14" s="10">
        <v>3.5</v>
      </c>
      <c r="J14" s="10">
        <v>4.0999999999999996</v>
      </c>
      <c r="K14" s="10">
        <v>4.2</v>
      </c>
      <c r="L14" s="10">
        <v>4.4000000000000004</v>
      </c>
      <c r="M14" s="10">
        <v>4.2</v>
      </c>
      <c r="N14" s="11">
        <f t="shared" ref="N14:N16" si="1">SUM(B14:M14)</f>
        <v>46.6</v>
      </c>
    </row>
    <row r="15" spans="1:14" x14ac:dyDescent="0.3">
      <c r="A15" s="9" t="s">
        <v>35</v>
      </c>
      <c r="B15" s="10">
        <v>3.1</v>
      </c>
      <c r="C15" s="10">
        <v>3.3</v>
      </c>
      <c r="D15" s="10">
        <v>3.8</v>
      </c>
      <c r="E15" s="10">
        <v>3.4</v>
      </c>
      <c r="F15" s="10">
        <v>3.7</v>
      </c>
      <c r="G15" s="10">
        <v>3.9</v>
      </c>
      <c r="H15" s="10">
        <v>3.5</v>
      </c>
      <c r="I15" s="10">
        <v>3.2</v>
      </c>
      <c r="J15" s="10">
        <v>3.7</v>
      </c>
      <c r="K15" s="10">
        <v>3.9</v>
      </c>
      <c r="L15" s="10">
        <v>4</v>
      </c>
      <c r="M15" s="10">
        <v>3.8</v>
      </c>
      <c r="N15" s="11">
        <f t="shared" si="1"/>
        <v>43.3</v>
      </c>
    </row>
    <row r="16" spans="1:14" x14ac:dyDescent="0.3">
      <c r="A16" s="9" t="s">
        <v>36</v>
      </c>
      <c r="B16" s="10">
        <v>0.8</v>
      </c>
      <c r="C16" s="10">
        <v>0.9</v>
      </c>
      <c r="D16" s="10">
        <v>1</v>
      </c>
      <c r="E16" s="10">
        <v>1</v>
      </c>
      <c r="F16" s="10">
        <v>1.1000000000000001</v>
      </c>
      <c r="G16" s="10">
        <v>1.1000000000000001</v>
      </c>
      <c r="H16" s="10">
        <v>1</v>
      </c>
      <c r="I16" s="10">
        <v>0.9</v>
      </c>
      <c r="J16" s="10">
        <v>1.1000000000000001</v>
      </c>
      <c r="K16" s="10">
        <v>1.1000000000000001</v>
      </c>
      <c r="L16" s="10">
        <v>1.1000000000000001</v>
      </c>
      <c r="M16" s="10">
        <v>1.1000000000000001</v>
      </c>
      <c r="N16" s="11">
        <f t="shared" si="1"/>
        <v>12.2</v>
      </c>
    </row>
    <row r="17" spans="1:14" x14ac:dyDescent="0.3">
      <c r="A17" s="9" t="s">
        <v>31</v>
      </c>
      <c r="B17" s="11">
        <f>SUM(B13:B16)</f>
        <v>11</v>
      </c>
      <c r="C17" s="11">
        <f t="shared" ref="C17:N17" si="2">SUM(C13:C16)</f>
        <v>11.5</v>
      </c>
      <c r="D17" s="11">
        <f t="shared" si="2"/>
        <v>13.5</v>
      </c>
      <c r="E17" s="11">
        <f t="shared" si="2"/>
        <v>12</v>
      </c>
      <c r="F17" s="11">
        <f t="shared" si="2"/>
        <v>12.999999999999998</v>
      </c>
      <c r="G17" s="11">
        <f t="shared" si="2"/>
        <v>14</v>
      </c>
      <c r="H17" s="11">
        <f t="shared" si="2"/>
        <v>12.5</v>
      </c>
      <c r="I17" s="11">
        <f t="shared" si="2"/>
        <v>11.500000000000002</v>
      </c>
      <c r="J17" s="11">
        <f t="shared" si="2"/>
        <v>13.499999999999998</v>
      </c>
      <c r="K17" s="11">
        <f t="shared" si="2"/>
        <v>14</v>
      </c>
      <c r="L17" s="11">
        <f t="shared" si="2"/>
        <v>14.5</v>
      </c>
      <c r="M17" s="11">
        <f t="shared" si="2"/>
        <v>14.000000000000002</v>
      </c>
      <c r="N17" s="11">
        <f t="shared" si="2"/>
        <v>155</v>
      </c>
    </row>
    <row r="18" spans="1:14" s="1" customFormat="1" x14ac:dyDescent="0.3"/>
    <row r="19" spans="1:14" s="1" customFormat="1" x14ac:dyDescent="0.3"/>
    <row r="20" spans="1:14" s="12" customFormat="1" x14ac:dyDescent="0.3">
      <c r="A20" s="50" t="s">
        <v>44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spans="1:14" s="12" customFormat="1" x14ac:dyDescent="0.3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</row>
    <row r="22" spans="1:14" x14ac:dyDescent="0.3">
      <c r="A22" s="7" t="s">
        <v>37</v>
      </c>
      <c r="B22" s="8" t="s">
        <v>15</v>
      </c>
      <c r="C22" s="8" t="s">
        <v>16</v>
      </c>
      <c r="D22" s="8" t="s">
        <v>17</v>
      </c>
      <c r="E22" s="8" t="s">
        <v>18</v>
      </c>
      <c r="F22" s="8" t="s">
        <v>19</v>
      </c>
      <c r="G22" s="8" t="s">
        <v>20</v>
      </c>
      <c r="H22" s="8" t="s">
        <v>21</v>
      </c>
      <c r="I22" s="8" t="s">
        <v>22</v>
      </c>
      <c r="J22" s="8" t="s">
        <v>23</v>
      </c>
      <c r="K22" s="8" t="s">
        <v>24</v>
      </c>
      <c r="L22" s="8" t="s">
        <v>25</v>
      </c>
      <c r="M22" s="8" t="s">
        <v>26</v>
      </c>
      <c r="N22" s="8" t="s">
        <v>27</v>
      </c>
    </row>
    <row r="23" spans="1:14" x14ac:dyDescent="0.3">
      <c r="A23" s="9" t="s">
        <v>38</v>
      </c>
      <c r="B23" s="10">
        <v>7.2</v>
      </c>
      <c r="C23" s="10">
        <v>7.4</v>
      </c>
      <c r="D23" s="10">
        <v>8.6999999999999993</v>
      </c>
      <c r="E23" s="10">
        <v>7.8</v>
      </c>
      <c r="F23" s="10">
        <v>8.4</v>
      </c>
      <c r="G23" s="10">
        <v>9</v>
      </c>
      <c r="H23" s="10">
        <v>8.1</v>
      </c>
      <c r="I23" s="10">
        <v>7.3</v>
      </c>
      <c r="J23" s="10">
        <v>8.6999999999999993</v>
      </c>
      <c r="K23" s="10">
        <v>9</v>
      </c>
      <c r="L23" s="10">
        <v>9.3000000000000007</v>
      </c>
      <c r="M23" s="10">
        <v>9.1</v>
      </c>
      <c r="N23" s="11">
        <f>SUM(B23:M23)</f>
        <v>99.999999999999986</v>
      </c>
    </row>
    <row r="24" spans="1:14" x14ac:dyDescent="0.3">
      <c r="A24" s="9" t="s">
        <v>39</v>
      </c>
      <c r="B24" s="10">
        <v>1.4</v>
      </c>
      <c r="C24" s="10">
        <v>1.5</v>
      </c>
      <c r="D24" s="10">
        <v>1.9</v>
      </c>
      <c r="E24" s="10">
        <v>1.6</v>
      </c>
      <c r="F24" s="10">
        <v>1.9</v>
      </c>
      <c r="G24" s="10">
        <v>2.1</v>
      </c>
      <c r="H24" s="10">
        <v>1.8</v>
      </c>
      <c r="I24" s="10">
        <v>1.7</v>
      </c>
      <c r="J24" s="10">
        <v>1.9</v>
      </c>
      <c r="K24" s="10">
        <v>2</v>
      </c>
      <c r="L24" s="10">
        <v>2.1</v>
      </c>
      <c r="M24" s="10">
        <v>2</v>
      </c>
      <c r="N24" s="11">
        <f t="shared" ref="N24:N25" si="3">SUM(B24:M24)</f>
        <v>21.900000000000002</v>
      </c>
    </row>
    <row r="25" spans="1:14" x14ac:dyDescent="0.3">
      <c r="A25" s="9" t="s">
        <v>40</v>
      </c>
      <c r="B25" s="10">
        <v>0.6</v>
      </c>
      <c r="C25" s="10">
        <v>0.6</v>
      </c>
      <c r="D25" s="10">
        <v>0.7</v>
      </c>
      <c r="E25" s="10">
        <v>0.6</v>
      </c>
      <c r="F25" s="10">
        <v>0.7</v>
      </c>
      <c r="G25" s="10">
        <v>0.7</v>
      </c>
      <c r="H25" s="10">
        <v>0.6</v>
      </c>
      <c r="I25" s="10">
        <v>0.6</v>
      </c>
      <c r="J25" s="10">
        <v>0.7</v>
      </c>
      <c r="K25" s="10">
        <v>0.7</v>
      </c>
      <c r="L25" s="10">
        <v>0.7</v>
      </c>
      <c r="M25" s="10">
        <v>0.7</v>
      </c>
      <c r="N25" s="11">
        <f t="shared" si="3"/>
        <v>7.9</v>
      </c>
    </row>
    <row r="26" spans="1:14" x14ac:dyDescent="0.3">
      <c r="A26" s="9" t="s">
        <v>41</v>
      </c>
      <c r="B26" s="11">
        <f>SUM(B23:B25)</f>
        <v>9.1999999999999993</v>
      </c>
      <c r="C26" s="11">
        <f t="shared" ref="C26:N26" si="4">SUM(C23:C25)</f>
        <v>9.5</v>
      </c>
      <c r="D26" s="11">
        <f t="shared" si="4"/>
        <v>11.299999999999999</v>
      </c>
      <c r="E26" s="11">
        <f t="shared" si="4"/>
        <v>10</v>
      </c>
      <c r="F26" s="11">
        <f t="shared" si="4"/>
        <v>11</v>
      </c>
      <c r="G26" s="11">
        <f t="shared" si="4"/>
        <v>11.799999999999999</v>
      </c>
      <c r="H26" s="11">
        <f t="shared" si="4"/>
        <v>10.5</v>
      </c>
      <c r="I26" s="11">
        <f t="shared" si="4"/>
        <v>9.6</v>
      </c>
      <c r="J26" s="11">
        <f t="shared" si="4"/>
        <v>11.299999999999999</v>
      </c>
      <c r="K26" s="11">
        <f t="shared" si="4"/>
        <v>11.7</v>
      </c>
      <c r="L26" s="11">
        <f t="shared" si="4"/>
        <v>12.1</v>
      </c>
      <c r="M26" s="11">
        <f t="shared" si="4"/>
        <v>11.799999999999999</v>
      </c>
      <c r="N26" s="11">
        <f t="shared" si="4"/>
        <v>129.79999999999998</v>
      </c>
    </row>
    <row r="27" spans="1:14" s="1" customFormat="1" x14ac:dyDescent="0.3"/>
    <row r="28" spans="1:14" s="1" customFormat="1" x14ac:dyDescent="0.3"/>
    <row r="29" spans="1:14" x14ac:dyDescent="0.3">
      <c r="A29" s="52" t="s">
        <v>52</v>
      </c>
      <c r="B29" s="53"/>
    </row>
    <row r="30" spans="1:14" x14ac:dyDescent="0.3">
      <c r="A30" s="54"/>
      <c r="B30" s="55"/>
    </row>
    <row r="31" spans="1:14" x14ac:dyDescent="0.3">
      <c r="A31" s="13" t="s">
        <v>46</v>
      </c>
      <c r="B31" s="16">
        <v>0.22</v>
      </c>
    </row>
    <row r="32" spans="1:14" x14ac:dyDescent="0.3">
      <c r="A32" s="13" t="s">
        <v>47</v>
      </c>
      <c r="B32" s="16">
        <v>7.4999999999999997E-2</v>
      </c>
    </row>
    <row r="33" spans="1:3" x14ac:dyDescent="0.3">
      <c r="A33" s="13" t="s">
        <v>48</v>
      </c>
      <c r="B33" s="15">
        <v>4.4999999999999998E-2</v>
      </c>
    </row>
    <row r="34" spans="1:3" x14ac:dyDescent="0.3">
      <c r="A34" s="13" t="s">
        <v>49</v>
      </c>
      <c r="B34" s="17">
        <v>1</v>
      </c>
    </row>
    <row r="35" spans="1:3" x14ac:dyDescent="0.3">
      <c r="A35" s="13" t="s">
        <v>50</v>
      </c>
      <c r="B35" s="17">
        <v>-1.3</v>
      </c>
    </row>
    <row r="36" spans="1:3" x14ac:dyDescent="0.3">
      <c r="A36" s="13" t="s">
        <v>53</v>
      </c>
      <c r="B36" s="17">
        <f>'Cash Flow'!D6</f>
        <v>14</v>
      </c>
    </row>
    <row r="37" spans="1:3" x14ac:dyDescent="0.3">
      <c r="A37" s="13" t="s">
        <v>51</v>
      </c>
      <c r="B37" s="15">
        <v>0.28999999999999998</v>
      </c>
    </row>
    <row r="40" spans="1:3" x14ac:dyDescent="0.3">
      <c r="A40" s="47" t="s">
        <v>45</v>
      </c>
      <c r="B40" s="47"/>
      <c r="C40" s="47"/>
    </row>
  </sheetData>
  <mergeCells count="5">
    <mergeCell ref="A1:N2"/>
    <mergeCell ref="A10:N11"/>
    <mergeCell ref="A20:N21"/>
    <mergeCell ref="A29:B30"/>
    <mergeCell ref="A40:C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0424-BA5D-40BA-BA3B-42A7F3D6A4E2}">
  <dimension ref="C2:H14"/>
  <sheetViews>
    <sheetView showGridLines="0" workbookViewId="0">
      <selection activeCell="D7" sqref="D7"/>
    </sheetView>
  </sheetViews>
  <sheetFormatPr defaultRowHeight="14.4" x14ac:dyDescent="0.3"/>
  <cols>
    <col min="3" max="3" width="23.6640625" bestFit="1" customWidth="1"/>
    <col min="4" max="4" width="8" bestFit="1" customWidth="1"/>
    <col min="5" max="5" width="24.109375" bestFit="1" customWidth="1"/>
    <col min="7" max="7" width="17.5546875" bestFit="1" customWidth="1"/>
  </cols>
  <sheetData>
    <row r="2" spans="3:8" ht="15" thickBot="1" x14ac:dyDescent="0.35"/>
    <row r="3" spans="3:8" ht="15" thickTop="1" x14ac:dyDescent="0.3">
      <c r="C3" s="56" t="s">
        <v>80</v>
      </c>
      <c r="D3" s="57"/>
      <c r="E3" s="56" t="s">
        <v>84</v>
      </c>
      <c r="F3" s="57"/>
      <c r="G3" s="56" t="s">
        <v>87</v>
      </c>
      <c r="H3" s="57"/>
    </row>
    <row r="4" spans="3:8" ht="15" thickBot="1" x14ac:dyDescent="0.35">
      <c r="C4" s="58"/>
      <c r="D4" s="59"/>
      <c r="E4" s="58"/>
      <c r="F4" s="59"/>
      <c r="G4" s="58"/>
      <c r="H4" s="59"/>
    </row>
    <row r="5" spans="3:8" ht="15" thickTop="1" x14ac:dyDescent="0.3">
      <c r="C5" s="36" t="s">
        <v>13</v>
      </c>
      <c r="D5" s="37">
        <f>'P&amp;L'!E15</f>
        <v>10.791999999999998</v>
      </c>
      <c r="E5" s="36" t="s">
        <v>85</v>
      </c>
      <c r="F5" s="37">
        <v>17</v>
      </c>
      <c r="G5" s="36" t="s">
        <v>88</v>
      </c>
      <c r="H5" s="37">
        <v>6</v>
      </c>
    </row>
    <row r="6" spans="3:8" x14ac:dyDescent="0.3">
      <c r="C6" s="30" t="s">
        <v>81</v>
      </c>
      <c r="D6" s="31">
        <v>14</v>
      </c>
      <c r="E6" s="30"/>
      <c r="F6" s="18"/>
      <c r="G6" s="30" t="s">
        <v>89</v>
      </c>
      <c r="H6" s="31">
        <v>1.5</v>
      </c>
    </row>
    <row r="7" spans="3:8" ht="15" thickBot="1" x14ac:dyDescent="0.35">
      <c r="C7" s="38" t="s">
        <v>82</v>
      </c>
      <c r="D7" s="35">
        <f>('Balance Sheet'!F7+'Balance Sheet'!F8-'Balance Sheet'!O7)/12</f>
        <v>3.1666666666666665</v>
      </c>
      <c r="E7" s="38"/>
      <c r="F7" s="39"/>
      <c r="G7" s="38"/>
      <c r="H7" s="39"/>
    </row>
    <row r="8" spans="3:8" ht="15.6" thickTop="1" thickBot="1" x14ac:dyDescent="0.35">
      <c r="C8" s="34" t="s">
        <v>83</v>
      </c>
      <c r="D8" s="31">
        <f>SUM(D5:D6)-D7</f>
        <v>21.62533333333333</v>
      </c>
      <c r="E8" s="34" t="s">
        <v>86</v>
      </c>
      <c r="F8" s="31">
        <f>F5</f>
        <v>17</v>
      </c>
      <c r="G8" s="34" t="s">
        <v>90</v>
      </c>
      <c r="H8" s="31">
        <f>SUM(H5:H6)</f>
        <v>7.5</v>
      </c>
    </row>
    <row r="9" spans="3:8" ht="15" thickTop="1" x14ac:dyDescent="0.3">
      <c r="C9" s="60" t="s">
        <v>91</v>
      </c>
      <c r="D9" s="61"/>
      <c r="E9" s="61"/>
      <c r="F9" s="61"/>
      <c r="G9" s="61"/>
      <c r="H9" s="62"/>
    </row>
    <row r="10" spans="3:8" ht="15" thickBot="1" x14ac:dyDescent="0.35">
      <c r="C10" s="63">
        <f>D8-F8-H8</f>
        <v>-2.8746666666666698</v>
      </c>
      <c r="D10" s="64"/>
      <c r="E10" s="64"/>
      <c r="F10" s="64"/>
      <c r="G10" s="64"/>
      <c r="H10" s="65"/>
    </row>
    <row r="11" spans="3:8" ht="15" thickTop="1" x14ac:dyDescent="0.3"/>
    <row r="14" spans="3:8" x14ac:dyDescent="0.3">
      <c r="C14" s="47" t="s">
        <v>45</v>
      </c>
      <c r="D14" s="47"/>
      <c r="E14" s="47"/>
    </row>
  </sheetData>
  <mergeCells count="6">
    <mergeCell ref="C14:E14"/>
    <mergeCell ref="C3:D4"/>
    <mergeCell ref="E3:F4"/>
    <mergeCell ref="G3:H4"/>
    <mergeCell ref="C9:H9"/>
    <mergeCell ref="C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7A1B-94BD-4B43-AC31-E71C861A483B}">
  <dimension ref="C2:O16"/>
  <sheetViews>
    <sheetView showGridLines="0" tabSelected="1" topLeftCell="B1" workbookViewId="0">
      <selection activeCell="A10" sqref="A10:XFD10"/>
    </sheetView>
  </sheetViews>
  <sheetFormatPr defaultRowHeight="14.4" x14ac:dyDescent="0.3"/>
  <cols>
    <col min="3" max="3" width="28.33203125" bestFit="1" customWidth="1"/>
    <col min="4" max="4" width="13.77734375" customWidth="1"/>
    <col min="5" max="5" width="21.109375" customWidth="1"/>
    <col min="6" max="6" width="18" customWidth="1"/>
    <col min="10" max="10" width="15.44140625" bestFit="1" customWidth="1"/>
    <col min="12" max="12" width="21.44140625" bestFit="1" customWidth="1"/>
    <col min="13" max="13" width="12.109375" customWidth="1"/>
    <col min="14" max="14" width="19.44140625" bestFit="1" customWidth="1"/>
    <col min="15" max="15" width="10.109375" customWidth="1"/>
  </cols>
  <sheetData>
    <row r="2" spans="3:15" ht="15" thickBot="1" x14ac:dyDescent="0.35"/>
    <row r="3" spans="3:15" ht="14.4" customHeight="1" thickTop="1" x14ac:dyDescent="0.3">
      <c r="C3" s="56" t="s">
        <v>57</v>
      </c>
      <c r="D3" s="75"/>
      <c r="E3" s="75"/>
      <c r="F3" s="57"/>
      <c r="G3" s="29"/>
      <c r="H3" s="29"/>
      <c r="J3" s="56" t="s">
        <v>67</v>
      </c>
      <c r="K3" s="75"/>
      <c r="L3" s="75"/>
      <c r="M3" s="75"/>
      <c r="N3" s="75"/>
      <c r="O3" s="57"/>
    </row>
    <row r="4" spans="3:15" ht="14.4" customHeight="1" thickBot="1" x14ac:dyDescent="0.35">
      <c r="C4" s="58"/>
      <c r="D4" s="76"/>
      <c r="E4" s="76"/>
      <c r="F4" s="59"/>
      <c r="G4" s="29"/>
      <c r="H4" s="29"/>
      <c r="J4" s="77"/>
      <c r="K4" s="78"/>
      <c r="L4" s="78"/>
      <c r="M4" s="78"/>
      <c r="N4" s="78"/>
      <c r="O4" s="79"/>
    </row>
    <row r="5" spans="3:15" ht="15" thickTop="1" x14ac:dyDescent="0.3">
      <c r="C5" s="66" t="s">
        <v>58</v>
      </c>
      <c r="D5" s="67"/>
      <c r="E5" s="66" t="s">
        <v>59</v>
      </c>
      <c r="F5" s="67"/>
      <c r="J5" s="66" t="s">
        <v>68</v>
      </c>
      <c r="K5" s="67"/>
      <c r="L5" s="66" t="s">
        <v>69</v>
      </c>
      <c r="M5" s="67"/>
      <c r="N5" s="66" t="s">
        <v>70</v>
      </c>
      <c r="O5" s="67"/>
    </row>
    <row r="6" spans="3:15" x14ac:dyDescent="0.3">
      <c r="C6" s="68"/>
      <c r="D6" s="69"/>
      <c r="E6" s="68"/>
      <c r="F6" s="69"/>
      <c r="J6" s="68"/>
      <c r="K6" s="69"/>
      <c r="L6" s="68"/>
      <c r="M6" s="69"/>
      <c r="N6" s="68"/>
      <c r="O6" s="69"/>
    </row>
    <row r="7" spans="3:15" x14ac:dyDescent="0.3">
      <c r="C7" s="30" t="s">
        <v>60</v>
      </c>
      <c r="D7" s="31">
        <v>95</v>
      </c>
      <c r="E7" s="30" t="s">
        <v>63</v>
      </c>
      <c r="F7" s="31">
        <v>42</v>
      </c>
      <c r="J7" s="30" t="s">
        <v>71</v>
      </c>
      <c r="K7" s="31">
        <v>10</v>
      </c>
      <c r="L7" s="30" t="s">
        <v>74</v>
      </c>
      <c r="M7" s="31">
        <v>95</v>
      </c>
      <c r="N7" s="30" t="s">
        <v>77</v>
      </c>
      <c r="O7" s="31">
        <v>31</v>
      </c>
    </row>
    <row r="8" spans="3:15" x14ac:dyDescent="0.3">
      <c r="C8" s="30" t="s">
        <v>61</v>
      </c>
      <c r="D8" s="31">
        <v>30</v>
      </c>
      <c r="E8" s="30" t="s">
        <v>64</v>
      </c>
      <c r="F8" s="31">
        <v>27</v>
      </c>
      <c r="J8" s="30" t="s">
        <v>72</v>
      </c>
      <c r="K8" s="31">
        <v>45</v>
      </c>
      <c r="L8" s="30" t="s">
        <v>75</v>
      </c>
      <c r="M8" s="31">
        <v>35</v>
      </c>
      <c r="N8" s="30" t="s">
        <v>78</v>
      </c>
      <c r="O8" s="31">
        <v>3</v>
      </c>
    </row>
    <row r="9" spans="3:15" x14ac:dyDescent="0.3">
      <c r="C9" s="30" t="s">
        <v>62</v>
      </c>
      <c r="D9" s="31">
        <v>20</v>
      </c>
      <c r="E9" s="30" t="s">
        <v>65</v>
      </c>
      <c r="F9" s="31">
        <v>13</v>
      </c>
      <c r="J9" s="30" t="s">
        <v>73</v>
      </c>
      <c r="K9" s="31">
        <v>10</v>
      </c>
      <c r="L9" s="30" t="s">
        <v>76</v>
      </c>
      <c r="M9" s="31">
        <v>15</v>
      </c>
      <c r="N9" s="30" t="s">
        <v>79</v>
      </c>
      <c r="O9" s="31">
        <v>1</v>
      </c>
    </row>
    <row r="10" spans="3:15" ht="15" thickBot="1" x14ac:dyDescent="0.35">
      <c r="C10" s="30"/>
      <c r="D10" s="31"/>
      <c r="E10" s="30" t="s">
        <v>66</v>
      </c>
      <c r="F10" s="31">
        <v>18</v>
      </c>
      <c r="J10" s="32"/>
      <c r="K10" s="33">
        <f>SUM(K7:K9)</f>
        <v>65</v>
      </c>
      <c r="L10" s="32"/>
      <c r="M10" s="33">
        <f>SUM(M7:M9)</f>
        <v>145</v>
      </c>
      <c r="N10" s="32"/>
      <c r="O10" s="33">
        <f>SUM(O7:O9)</f>
        <v>35</v>
      </c>
    </row>
    <row r="11" spans="3:15" ht="15.6" thickTop="1" thickBot="1" x14ac:dyDescent="0.35">
      <c r="C11" s="32"/>
      <c r="D11" s="33">
        <f>SUM(D7:D9)</f>
        <v>145</v>
      </c>
      <c r="E11" s="32"/>
      <c r="F11" s="33">
        <f>SUM(F7:F10)</f>
        <v>100</v>
      </c>
      <c r="J11" s="70">
        <f>SUM(K10:O10)</f>
        <v>245</v>
      </c>
      <c r="K11" s="71"/>
      <c r="L11" s="71"/>
      <c r="M11" s="71"/>
      <c r="N11" s="71"/>
      <c r="O11" s="69"/>
    </row>
    <row r="12" spans="3:15" ht="15.6" thickTop="1" thickBot="1" x14ac:dyDescent="0.35">
      <c r="C12" s="70">
        <f>SUM(D11,F11)</f>
        <v>245</v>
      </c>
      <c r="D12" s="71"/>
      <c r="E12" s="71"/>
      <c r="F12" s="69"/>
      <c r="J12" s="72"/>
      <c r="K12" s="73"/>
      <c r="L12" s="73"/>
      <c r="M12" s="73"/>
      <c r="N12" s="73"/>
      <c r="O12" s="74"/>
    </row>
    <row r="13" spans="3:15" ht="15.6" thickTop="1" thickBot="1" x14ac:dyDescent="0.35">
      <c r="C13" s="72"/>
      <c r="D13" s="73"/>
      <c r="E13" s="73"/>
      <c r="F13" s="74"/>
    </row>
    <row r="14" spans="3:15" ht="15" thickTop="1" x14ac:dyDescent="0.3"/>
    <row r="16" spans="3:15" x14ac:dyDescent="0.3">
      <c r="C16" s="47" t="s">
        <v>45</v>
      </c>
      <c r="D16" s="47"/>
      <c r="E16" s="47"/>
    </row>
  </sheetData>
  <mergeCells count="10">
    <mergeCell ref="C3:F4"/>
    <mergeCell ref="E5:F6"/>
    <mergeCell ref="J3:O4"/>
    <mergeCell ref="J5:K6"/>
    <mergeCell ref="L5:M6"/>
    <mergeCell ref="N5:O6"/>
    <mergeCell ref="C12:F13"/>
    <mergeCell ref="J11:O12"/>
    <mergeCell ref="C16:E16"/>
    <mergeCell ref="C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P&amp;L</vt:lpstr>
      <vt:lpstr>Revenue Breakdown</vt:lpstr>
      <vt:lpstr>Cash Flow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S. Salimli</dc:creator>
  <cp:lastModifiedBy>Aziz S. Salimli</cp:lastModifiedBy>
  <dcterms:created xsi:type="dcterms:W3CDTF">2025-12-19T05:24:24Z</dcterms:created>
  <dcterms:modified xsi:type="dcterms:W3CDTF">2025-12-19T08:32:41Z</dcterms:modified>
</cp:coreProperties>
</file>