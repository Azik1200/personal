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imlias\Desktop\"/>
    </mc:Choice>
  </mc:AlternateContent>
  <xr:revisionPtr revIDLastSave="0" documentId="13_ncr:1_{4CCDBBF8-357D-4E07-A283-8B137764CC77}" xr6:coauthVersionLast="47" xr6:coauthVersionMax="47" xr10:uidLastSave="{00000000-0000-0000-0000-000000000000}"/>
  <bookViews>
    <workbookView xWindow="-108" yWindow="-108" windowWidth="23256" windowHeight="13176" xr2:uid="{A0A07038-16F8-4B4D-9754-CD16D34947B9}"/>
  </bookViews>
  <sheets>
    <sheet name="Main" sheetId="1" r:id="rId1"/>
    <sheet name="P&amp;L" sheetId="2" r:id="rId2"/>
    <sheet name="KPI" sheetId="7" r:id="rId3"/>
    <sheet name="BS" sheetId="6" r:id="rId4"/>
    <sheet name="CF" sheetId="5" r:id="rId5"/>
    <sheet name="Revenue" sheetId="3" r:id="rId6"/>
    <sheet name="Assumption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B6" i="7"/>
  <c r="B5" i="7"/>
  <c r="B4" i="7"/>
  <c r="B3" i="7"/>
  <c r="B2" i="7"/>
  <c r="B1" i="7"/>
  <c r="C8" i="5"/>
  <c r="C6" i="5"/>
  <c r="B10" i="2"/>
  <c r="B7" i="4"/>
  <c r="B5" i="2"/>
  <c r="B4" i="2"/>
  <c r="B2" i="2"/>
  <c r="B1" i="2"/>
  <c r="D9" i="6"/>
  <c r="B9" i="6"/>
  <c r="M8" i="6"/>
  <c r="K8" i="6"/>
  <c r="I8" i="6"/>
  <c r="H9" i="6" s="1"/>
  <c r="G9" i="5"/>
  <c r="E9" i="5"/>
  <c r="N8" i="3"/>
  <c r="N4" i="3"/>
  <c r="N5" i="3"/>
  <c r="N6" i="3"/>
  <c r="N7" i="3"/>
  <c r="N3" i="3"/>
  <c r="C8" i="3"/>
  <c r="D8" i="3"/>
  <c r="E8" i="3"/>
  <c r="F8" i="3"/>
  <c r="G8" i="3"/>
  <c r="H8" i="3"/>
  <c r="I8" i="3"/>
  <c r="J8" i="3"/>
  <c r="K8" i="3"/>
  <c r="L8" i="3"/>
  <c r="M8" i="3"/>
  <c r="B8" i="3"/>
  <c r="C9" i="5" l="1"/>
  <c r="A10" i="6"/>
  <c r="B3" i="2"/>
  <c r="B7" i="2" s="1"/>
  <c r="B9" i="2" s="1"/>
  <c r="B11" i="2" l="1"/>
</calcChain>
</file>

<file path=xl/sharedStrings.xml><?xml version="1.0" encoding="utf-8"?>
<sst xmlns="http://schemas.openxmlformats.org/spreadsheetml/2006/main" count="83" uniqueCount="82">
  <si>
    <t>IKEA</t>
  </si>
  <si>
    <t>IKEA is a global home-furnishing retailer operating under a cost-leadership and scale-driven model. The company focuses on delivering affordable lifestyle solutions through vertical integration, high inventory turnover, self-service formats, and optimized logistics. Unlike premium manufacturers, IKEA’s competitive advantage is built on operational efficiency rather than product margin expansion.</t>
  </si>
  <si>
    <t>Revenue</t>
  </si>
  <si>
    <t>Revenue:</t>
  </si>
  <si>
    <t>EBIT Margin:</t>
  </si>
  <si>
    <t>Net Profit:</t>
  </si>
  <si>
    <t>Free Cash Flow: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</si>
  <si>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</si>
  <si>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</si>
  <si>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</si>
  <si>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</si>
  <si>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</si>
  <si>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</si>
  <si>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</si>
  <si>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</si>
  <si>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</si>
  <si>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</si>
  <si>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</si>
  <si>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</si>
  <si>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</t>
  </si>
  <si>
    <t>Furniture (Living, Bedroom, Office)</t>
  </si>
  <si>
    <t>Home Accessories &amp; Décor</t>
  </si>
  <si>
    <t>Kitchen &amp; Home Appliances</t>
  </si>
  <si>
    <t>Services (Delivery, Assembly, Installation)</t>
  </si>
  <si>
    <t>B2B &amp; Contract Sales</t>
  </si>
  <si>
    <t>Total Revenue</t>
  </si>
  <si>
    <t>Assumptions</t>
  </si>
  <si>
    <t>Gross Margin:</t>
  </si>
  <si>
    <t>SG&amp;A:</t>
  </si>
  <si>
    <t>R&amp;D:</t>
  </si>
  <si>
    <t>D&amp;A</t>
  </si>
  <si>
    <t>Tax Rate:</t>
  </si>
  <si>
    <t>CFO</t>
  </si>
  <si>
    <t>CFI</t>
  </si>
  <si>
    <t>CFF</t>
  </si>
  <si>
    <t>Net Profit</t>
  </si>
  <si>
    <t>Capital Expenditures (CapEx)</t>
  </si>
  <si>
    <t>Dividends Paid</t>
  </si>
  <si>
    <t>Depreciation &amp; Amortization</t>
  </si>
  <si>
    <t>Net Debt Repayment</t>
  </si>
  <si>
    <t>Change in Working Capital</t>
  </si>
  <si>
    <t>NET CASH CFO</t>
  </si>
  <si>
    <t>NET  CASH CFI</t>
  </si>
  <si>
    <t>NET CASH CFF</t>
  </si>
  <si>
    <t>ASSETS</t>
  </si>
  <si>
    <t>EQUITY &amp; LIABILITIES</t>
  </si>
  <si>
    <t>Non-current Assets</t>
  </si>
  <si>
    <t>Current Assets</t>
  </si>
  <si>
    <t>Equity</t>
  </si>
  <si>
    <t>Non-current Liabilities</t>
  </si>
  <si>
    <t>Current Liabilities</t>
  </si>
  <si>
    <t>Property, Plant &amp; Equipment (PPE)</t>
  </si>
  <si>
    <t>Inventory</t>
  </si>
  <si>
    <t>Share Capital</t>
  </si>
  <si>
    <t>Long-term Debt</t>
  </si>
  <si>
    <t>Trade Payables</t>
  </si>
  <si>
    <t>Intangible Assets</t>
  </si>
  <si>
    <t>Trade Receivables</t>
  </si>
  <si>
    <t>Retained Earnings</t>
  </si>
  <si>
    <t>Pension &amp; Provisions</t>
  </si>
  <si>
    <t>Short-term Debt</t>
  </si>
  <si>
    <t>Other non-current assets</t>
  </si>
  <si>
    <t>Cash &amp; Cash Equivalents</t>
  </si>
  <si>
    <t>Other equity</t>
  </si>
  <si>
    <t>Other long-term liabilities</t>
  </si>
  <si>
    <t>Other current liabilities</t>
  </si>
  <si>
    <t>Other current assets</t>
  </si>
  <si>
    <t>Cost of Sales</t>
  </si>
  <si>
    <t>Gross Profit</t>
  </si>
  <si>
    <t>Selling &amp; Administrative Expenses</t>
  </si>
  <si>
    <t>Research &amp; Development Expenses</t>
  </si>
  <si>
    <t>Other Operating Income / Expenses (net)</t>
  </si>
  <si>
    <t>Operating Profit (EBIT)</t>
  </si>
  <si>
    <t>Financial Result</t>
  </si>
  <si>
    <t>Profit Before Tax (EBT)</t>
  </si>
  <si>
    <t>Income Taxes</t>
  </si>
  <si>
    <t>EBITDA</t>
  </si>
  <si>
    <t>EBIT Margin</t>
  </si>
  <si>
    <t>Net Margin</t>
  </si>
  <si>
    <t>ROI</t>
  </si>
  <si>
    <t>ROCE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</si>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</sst>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[$€-2]\ * #,##0.00_);_([$€-2]\ * \(#,##0.00\);_([$€-2]\ * &quot;-&quot;??_);_(@_)"/>
    <numFmt numFmtId="169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8" fontId="0" fillId="0" borderId="3" xfId="0" applyNumberFormat="1" applyBorder="1" applyAlignment="1">
      <alignment horizontal="center" vertical="top" wrapText="1"/>
    </xf>
    <xf numFmtId="168" fontId="0" fillId="0" borderId="4" xfId="0" applyNumberFormat="1" applyBorder="1" applyAlignment="1">
      <alignment horizontal="center" vertical="top" wrapText="1"/>
    </xf>
    <xf numFmtId="168" fontId="0" fillId="0" borderId="0" xfId="0" applyNumberFormat="1" applyBorder="1" applyAlignment="1">
      <alignment horizontal="center" vertical="top" wrapText="1"/>
    </xf>
    <xf numFmtId="168" fontId="0" fillId="0" borderId="6" xfId="0" applyNumberFormat="1" applyBorder="1" applyAlignment="1">
      <alignment horizontal="center" vertical="top" wrapText="1"/>
    </xf>
    <xf numFmtId="168" fontId="0" fillId="0" borderId="8" xfId="0" applyNumberFormat="1" applyBorder="1" applyAlignment="1">
      <alignment horizontal="center" vertical="top" wrapText="1"/>
    </xf>
    <xf numFmtId="168" fontId="0" fillId="0" borderId="9" xfId="0" applyNumberFormat="1" applyBorder="1" applyAlignment="1">
      <alignment horizontal="center" vertical="top" wrapText="1"/>
    </xf>
    <xf numFmtId="168" fontId="2" fillId="0" borderId="13" xfId="0" applyNumberFormat="1" applyFont="1" applyBorder="1" applyAlignment="1">
      <alignment horizontal="center" vertical="top" wrapText="1"/>
    </xf>
    <xf numFmtId="168" fontId="2" fillId="0" borderId="10" xfId="0" applyNumberFormat="1" applyFont="1" applyBorder="1" applyAlignment="1">
      <alignment horizontal="center" vertical="top" wrapText="1"/>
    </xf>
    <xf numFmtId="168" fontId="2" fillId="0" borderId="1" xfId="0" applyNumberFormat="1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/>
    </xf>
    <xf numFmtId="0" fontId="0" fillId="0" borderId="15" xfId="0" applyBorder="1"/>
    <xf numFmtId="169" fontId="0" fillId="0" borderId="15" xfId="1" applyNumberFormat="1" applyFont="1" applyBorder="1"/>
    <xf numFmtId="9" fontId="0" fillId="0" borderId="15" xfId="1" applyFont="1" applyBorder="1"/>
    <xf numFmtId="10" fontId="0" fillId="0" borderId="15" xfId="1" applyNumberFormat="1" applyFont="1" applyBorder="1"/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7" xfId="0" applyBorder="1"/>
    <xf numFmtId="168" fontId="0" fillId="0" borderId="18" xfId="0" applyNumberFormat="1" applyBorder="1"/>
    <xf numFmtId="0" fontId="0" fillId="0" borderId="19" xfId="0" applyBorder="1"/>
    <xf numFmtId="168" fontId="0" fillId="0" borderId="20" xfId="0" applyNumberFormat="1" applyBorder="1"/>
    <xf numFmtId="0" fontId="0" fillId="0" borderId="20" xfId="0" applyBorder="1"/>
    <xf numFmtId="0" fontId="0" fillId="0" borderId="21" xfId="0" applyBorder="1"/>
    <xf numFmtId="168" fontId="0" fillId="0" borderId="22" xfId="0" applyNumberFormat="1" applyBorder="1"/>
    <xf numFmtId="0" fontId="0" fillId="0" borderId="22" xfId="0" applyBorder="1"/>
    <xf numFmtId="0" fontId="2" fillId="0" borderId="19" xfId="0" applyFont="1" applyBorder="1"/>
    <xf numFmtId="0" fontId="2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168" fontId="2" fillId="0" borderId="22" xfId="0" applyNumberFormat="1" applyFont="1" applyBorder="1"/>
    <xf numFmtId="168" fontId="2" fillId="0" borderId="1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10" fontId="0" fillId="0" borderId="20" xfId="1" applyNumberFormat="1" applyFont="1" applyBorder="1"/>
    <xf numFmtId="169" fontId="0" fillId="0" borderId="20" xfId="1" applyNumberFormat="1" applyFont="1" applyBorder="1"/>
    <xf numFmtId="0" fontId="0" fillId="0" borderId="27" xfId="0" applyBorder="1"/>
    <xf numFmtId="169" fontId="0" fillId="0" borderId="22" xfId="1" applyNumberFormat="1" applyFont="1" applyBorder="1"/>
    <xf numFmtId="0" fontId="2" fillId="0" borderId="2" xfId="0" applyFont="1" applyBorder="1" applyAlignment="1">
      <alignment vertical="top" wrapText="1"/>
    </xf>
    <xf numFmtId="168" fontId="2" fillId="0" borderId="4" xfId="0" applyNumberFormat="1" applyFont="1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168" fontId="0" fillId="0" borderId="6" xfId="0" applyNumberFormat="1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168" fontId="2" fillId="0" borderId="6" xfId="0" applyNumberFormat="1" applyFont="1" applyBorder="1" applyAlignment="1">
      <alignment horizontal="right" vertical="top" wrapText="1"/>
    </xf>
    <xf numFmtId="0" fontId="2" fillId="0" borderId="12" xfId="0" applyFont="1" applyBorder="1" applyAlignment="1">
      <alignment vertical="top" wrapText="1"/>
    </xf>
    <xf numFmtId="168" fontId="2" fillId="0" borderId="14" xfId="0" applyNumberFormat="1" applyFont="1" applyBorder="1" applyAlignment="1">
      <alignment horizontal="right" vertical="top" wrapText="1"/>
    </xf>
    <xf numFmtId="168" fontId="0" fillId="0" borderId="9" xfId="0" applyNumberFormat="1" applyBorder="1" applyAlignment="1">
      <alignment horizontal="right" vertical="top" wrapText="1"/>
    </xf>
    <xf numFmtId="0" fontId="4" fillId="0" borderId="2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68" fontId="0" fillId="0" borderId="6" xfId="1" applyNumberFormat="1" applyFont="1" applyBorder="1"/>
    <xf numFmtId="168" fontId="0" fillId="0" borderId="9" xfId="1" applyNumberFormat="1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168" fontId="2" fillId="0" borderId="0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1BD3-E424-4459-A4CD-43C726CE64D1}">
  <dimension ref="A1:F9"/>
  <sheetViews>
    <sheetView tabSelected="1" workbookViewId="0">
      <selection activeCell="H18" sqref="H18"/>
    </sheetView>
  </sheetViews>
  <sheetFormatPr defaultRowHeight="14.4" x14ac:dyDescent="0.3"/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4" t="s">
        <v>1</v>
      </c>
      <c r="B3" s="4"/>
      <c r="C3" s="4"/>
      <c r="D3" s="4"/>
      <c r="E3" s="4"/>
      <c r="F3" s="4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3" t="s">
        <v>3</v>
      </c>
      <c r="B6" s="3"/>
      <c r="C6" s="3"/>
      <c r="D6" s="80">
        <f>'P&amp;L'!B1</f>
        <v>50.45000000000001</v>
      </c>
      <c r="E6" s="80"/>
      <c r="F6" s="80"/>
    </row>
    <row r="7" spans="1:6" x14ac:dyDescent="0.3">
      <c r="A7" s="3" t="s">
        <v>4</v>
      </c>
      <c r="B7" s="3"/>
      <c r="C7" s="3"/>
      <c r="D7" s="81">
        <f>KPI!B2</f>
        <v>9.0946481665014914E-2</v>
      </c>
      <c r="E7" s="2"/>
      <c r="F7" s="2"/>
    </row>
    <row r="8" spans="1:6" x14ac:dyDescent="0.3">
      <c r="A8" s="3" t="s">
        <v>5</v>
      </c>
      <c r="B8" s="3"/>
      <c r="C8" s="3"/>
      <c r="D8" s="80">
        <f>'P&amp;L'!B11</f>
        <v>3.2668350000000022</v>
      </c>
      <c r="E8" s="80"/>
      <c r="F8" s="80"/>
    </row>
    <row r="9" spans="1:6" x14ac:dyDescent="0.3">
      <c r="A9" s="3" t="s">
        <v>6</v>
      </c>
      <c r="B9" s="3"/>
      <c r="C9" s="3"/>
      <c r="D9" s="80">
        <f>CF!C9-CF!E6</f>
        <v>9.7668350000000004</v>
      </c>
      <c r="E9" s="80"/>
      <c r="F9" s="80"/>
    </row>
  </sheetData>
  <mergeCells count="10">
    <mergeCell ref="A9:C9"/>
    <mergeCell ref="D7:F7"/>
    <mergeCell ref="D8:F8"/>
    <mergeCell ref="D9:F9"/>
    <mergeCell ref="A1:F2"/>
    <mergeCell ref="A3:F5"/>
    <mergeCell ref="A6:C6"/>
    <mergeCell ref="D6:F6"/>
    <mergeCell ref="A7:C7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2AA9-D247-4825-93A8-8E49C43C4540}">
  <dimension ref="A1:B11"/>
  <sheetViews>
    <sheetView workbookViewId="0">
      <selection activeCell="A19" sqref="A19"/>
    </sheetView>
  </sheetViews>
  <sheetFormatPr defaultRowHeight="14.4" x14ac:dyDescent="0.3"/>
  <cols>
    <col min="1" max="1" width="22.77734375" customWidth="1"/>
    <col min="2" max="2" width="8" bestFit="1" customWidth="1"/>
  </cols>
  <sheetData>
    <row r="1" spans="1:2" x14ac:dyDescent="0.3">
      <c r="A1" s="62" t="s">
        <v>2</v>
      </c>
      <c r="B1" s="63">
        <f>Revenue!N8</f>
        <v>50.45000000000001</v>
      </c>
    </row>
    <row r="2" spans="1:2" ht="15" thickBot="1" x14ac:dyDescent="0.35">
      <c r="A2" s="64" t="s">
        <v>67</v>
      </c>
      <c r="B2" s="65">
        <f>B1 * (1-Assumptions!B4)</f>
        <v>33.297000000000004</v>
      </c>
    </row>
    <row r="3" spans="1:2" x14ac:dyDescent="0.3">
      <c r="A3" s="62" t="s">
        <v>68</v>
      </c>
      <c r="B3" s="63">
        <f>B1-B2</f>
        <v>17.153000000000006</v>
      </c>
    </row>
    <row r="4" spans="1:2" ht="28.8" x14ac:dyDescent="0.3">
      <c r="A4" s="64" t="s">
        <v>69</v>
      </c>
      <c r="B4" s="65">
        <f>B1*Assumptions!B5</f>
        <v>12.108000000000002</v>
      </c>
    </row>
    <row r="5" spans="1:2" ht="28.8" x14ac:dyDescent="0.3">
      <c r="A5" s="64" t="s">
        <v>70</v>
      </c>
      <c r="B5" s="65">
        <f>B1*Assumptions!B6</f>
        <v>0.75675000000000014</v>
      </c>
    </row>
    <row r="6" spans="1:2" ht="29.4" thickBot="1" x14ac:dyDescent="0.35">
      <c r="A6" s="64" t="s">
        <v>71</v>
      </c>
      <c r="B6" s="75">
        <v>0.3</v>
      </c>
    </row>
    <row r="7" spans="1:2" x14ac:dyDescent="0.3">
      <c r="A7" s="62" t="s">
        <v>72</v>
      </c>
      <c r="B7" s="63">
        <f>B3-B4-B5+B6</f>
        <v>4.588250000000003</v>
      </c>
    </row>
    <row r="8" spans="1:2" ht="15" thickBot="1" x14ac:dyDescent="0.35">
      <c r="A8" s="66" t="s">
        <v>73</v>
      </c>
      <c r="B8" s="76">
        <v>-0.4</v>
      </c>
    </row>
    <row r="9" spans="1:2" x14ac:dyDescent="0.3">
      <c r="A9" s="67" t="s">
        <v>74</v>
      </c>
      <c r="B9" s="68">
        <f>B7+B8</f>
        <v>4.1882500000000027</v>
      </c>
    </row>
    <row r="10" spans="1:2" ht="15" thickBot="1" x14ac:dyDescent="0.35">
      <c r="A10" s="66" t="s">
        <v>75</v>
      </c>
      <c r="B10" s="71">
        <f>B9*Assumptions!B8</f>
        <v>0.92141500000000065</v>
      </c>
    </row>
    <row r="11" spans="1:2" ht="15" thickBot="1" x14ac:dyDescent="0.35">
      <c r="A11" s="69" t="s">
        <v>35</v>
      </c>
      <c r="B11" s="70">
        <f>B9-B10</f>
        <v>3.2668350000000022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9D26-6C76-405D-93E9-47F21CD5892C}">
  <dimension ref="A1:B7"/>
  <sheetViews>
    <sheetView workbookViewId="0">
      <selection activeCell="H14" sqref="H14"/>
    </sheetView>
  </sheetViews>
  <sheetFormatPr defaultRowHeight="14.4" x14ac:dyDescent="0.3"/>
  <cols>
    <col min="1" max="1" width="10.21875" bestFit="1" customWidth="1"/>
  </cols>
  <sheetData>
    <row r="1" spans="1:2" ht="15" thickTop="1" x14ac:dyDescent="0.3">
      <c r="A1" s="56" t="s">
        <v>76</v>
      </c>
      <c r="B1" s="30">
        <f>'P&amp;L'!B7+'P&amp;L'!B1*Assumptions!B7</f>
        <v>7.8675000000000033</v>
      </c>
    </row>
    <row r="2" spans="1:2" x14ac:dyDescent="0.3">
      <c r="A2" s="57" t="s">
        <v>77</v>
      </c>
      <c r="B2" s="58">
        <f>'P&amp;L'!B7/'P&amp;L'!B1</f>
        <v>9.0946481665014914E-2</v>
      </c>
    </row>
    <row r="3" spans="1:2" x14ac:dyDescent="0.3">
      <c r="A3" s="57" t="s">
        <v>78</v>
      </c>
      <c r="B3" s="58">
        <f>'P&amp;L'!B11/'P&amp;L'!B1</f>
        <v>6.475391476709616E-2</v>
      </c>
    </row>
    <row r="4" spans="1:2" x14ac:dyDescent="0.3">
      <c r="A4" s="57" t="s">
        <v>79</v>
      </c>
      <c r="B4" s="58">
        <f>'P&amp;L'!B1/200</f>
        <v>0.25225000000000003</v>
      </c>
    </row>
    <row r="5" spans="1:2" x14ac:dyDescent="0.3">
      <c r="A5" s="57" t="s">
        <v>80</v>
      </c>
      <c r="B5" s="59">
        <f>'P&amp;L'!B1/121</f>
        <v>0.41694214876033064</v>
      </c>
    </row>
    <row r="6" spans="1:2" ht="15" thickBot="1" x14ac:dyDescent="0.35">
      <c r="A6" s="60" t="s">
        <v>81</v>
      </c>
      <c r="B6" s="61">
        <f>'P&amp;L'!B11/BS!I8</f>
        <v>0.13067340000000008</v>
      </c>
    </row>
    <row r="7" spans="1:2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EA60-230C-415D-9046-F240AEC1BED1}">
  <dimension ref="A1:M12"/>
  <sheetViews>
    <sheetView workbookViewId="0">
      <selection activeCell="A5" sqref="A5:A7"/>
    </sheetView>
  </sheetViews>
  <sheetFormatPr defaultRowHeight="14.4" x14ac:dyDescent="0.3"/>
  <cols>
    <col min="1" max="1" width="28.33203125" bestFit="1" customWidth="1"/>
    <col min="2" max="2" width="9.21875" bestFit="1" customWidth="1"/>
    <col min="3" max="3" width="20.77734375" bestFit="1" customWidth="1"/>
    <col min="4" max="4" width="9.21875" bestFit="1" customWidth="1"/>
    <col min="8" max="8" width="15.44140625" bestFit="1" customWidth="1"/>
    <col min="9" max="9" width="8.21875" bestFit="1" customWidth="1"/>
    <col min="10" max="10" width="21.44140625" bestFit="1" customWidth="1"/>
    <col min="11" max="11" width="9.21875" bestFit="1" customWidth="1"/>
    <col min="12" max="12" width="19.44140625" bestFit="1" customWidth="1"/>
    <col min="13" max="13" width="8.21875" bestFit="1" customWidth="1"/>
  </cols>
  <sheetData>
    <row r="1" spans="1:13" ht="21.6" thickTop="1" x14ac:dyDescent="0.3">
      <c r="A1" s="25" t="s">
        <v>44</v>
      </c>
      <c r="B1" s="39"/>
      <c r="C1" s="39"/>
      <c r="D1" s="26"/>
      <c r="E1" s="40"/>
      <c r="F1" s="40"/>
      <c r="H1" s="25" t="s">
        <v>45</v>
      </c>
      <c r="I1" s="39"/>
      <c r="J1" s="39"/>
      <c r="K1" s="39"/>
      <c r="L1" s="39"/>
      <c r="M1" s="26"/>
    </row>
    <row r="2" spans="1:13" ht="21.6" thickBot="1" x14ac:dyDescent="0.35">
      <c r="A2" s="27"/>
      <c r="B2" s="41"/>
      <c r="C2" s="41"/>
      <c r="D2" s="28"/>
      <c r="E2" s="40"/>
      <c r="F2" s="40"/>
      <c r="H2" s="42"/>
      <c r="I2" s="43"/>
      <c r="J2" s="43"/>
      <c r="K2" s="43"/>
      <c r="L2" s="43"/>
      <c r="M2" s="44"/>
    </row>
    <row r="3" spans="1:13" ht="15" thickTop="1" x14ac:dyDescent="0.3">
      <c r="A3" s="45" t="s">
        <v>46</v>
      </c>
      <c r="B3" s="46"/>
      <c r="C3" s="45" t="s">
        <v>47</v>
      </c>
      <c r="D3" s="46"/>
      <c r="H3" s="45" t="s">
        <v>48</v>
      </c>
      <c r="I3" s="46"/>
      <c r="J3" s="45" t="s">
        <v>49</v>
      </c>
      <c r="K3" s="46"/>
      <c r="L3" s="45" t="s">
        <v>50</v>
      </c>
      <c r="M3" s="46"/>
    </row>
    <row r="4" spans="1:13" x14ac:dyDescent="0.3">
      <c r="A4" s="47"/>
      <c r="B4" s="48"/>
      <c r="C4" s="47"/>
      <c r="D4" s="48"/>
      <c r="H4" s="47"/>
      <c r="I4" s="48"/>
      <c r="J4" s="47"/>
      <c r="K4" s="48"/>
      <c r="L4" s="47"/>
      <c r="M4" s="48"/>
    </row>
    <row r="5" spans="1:13" x14ac:dyDescent="0.3">
      <c r="A5" s="31" t="s">
        <v>51</v>
      </c>
      <c r="B5" s="32">
        <v>32</v>
      </c>
      <c r="C5" s="31" t="s">
        <v>52</v>
      </c>
      <c r="D5" s="32">
        <v>14</v>
      </c>
      <c r="H5" s="31" t="s">
        <v>53</v>
      </c>
      <c r="I5" s="32">
        <v>5</v>
      </c>
      <c r="J5" s="31" t="s">
        <v>54</v>
      </c>
      <c r="K5" s="32">
        <v>22</v>
      </c>
      <c r="L5" s="31" t="s">
        <v>55</v>
      </c>
      <c r="M5" s="32">
        <v>14</v>
      </c>
    </row>
    <row r="6" spans="1:13" x14ac:dyDescent="0.3">
      <c r="A6" s="31" t="s">
        <v>56</v>
      </c>
      <c r="B6" s="32">
        <v>9</v>
      </c>
      <c r="C6" s="31" t="s">
        <v>57</v>
      </c>
      <c r="D6" s="32">
        <v>4</v>
      </c>
      <c r="H6" s="31" t="s">
        <v>58</v>
      </c>
      <c r="I6" s="32">
        <v>18</v>
      </c>
      <c r="J6" s="31" t="s">
        <v>59</v>
      </c>
      <c r="K6" s="32">
        <v>8</v>
      </c>
      <c r="L6" s="31" t="s">
        <v>60</v>
      </c>
      <c r="M6" s="32">
        <v>2</v>
      </c>
    </row>
    <row r="7" spans="1:13" x14ac:dyDescent="0.3">
      <c r="A7" s="31" t="s">
        <v>61</v>
      </c>
      <c r="B7" s="32">
        <v>6</v>
      </c>
      <c r="C7" s="31" t="s">
        <v>62</v>
      </c>
      <c r="D7" s="32">
        <v>8</v>
      </c>
      <c r="H7" s="31" t="s">
        <v>63</v>
      </c>
      <c r="I7" s="32">
        <v>2</v>
      </c>
      <c r="J7" s="31" t="s">
        <v>64</v>
      </c>
      <c r="K7" s="32">
        <v>5</v>
      </c>
      <c r="L7" s="31" t="s">
        <v>65</v>
      </c>
      <c r="M7" s="32">
        <v>2</v>
      </c>
    </row>
    <row r="8" spans="1:13" ht="15" thickBot="1" x14ac:dyDescent="0.35">
      <c r="A8" s="31"/>
      <c r="B8" s="32"/>
      <c r="C8" s="31" t="s">
        <v>66</v>
      </c>
      <c r="D8" s="32">
        <v>5</v>
      </c>
      <c r="H8" s="49"/>
      <c r="I8" s="50">
        <f>SUM(I5:I7)</f>
        <v>25</v>
      </c>
      <c r="J8" s="49"/>
      <c r="K8" s="50">
        <f>SUM(K5:K7)</f>
        <v>35</v>
      </c>
      <c r="L8" s="49"/>
      <c r="M8" s="50">
        <f>SUM(M5:M7)</f>
        <v>18</v>
      </c>
    </row>
    <row r="9" spans="1:13" ht="15.6" thickTop="1" thickBot="1" x14ac:dyDescent="0.35">
      <c r="A9" s="49"/>
      <c r="B9" s="50">
        <f>SUM(B5:B7)</f>
        <v>47</v>
      </c>
      <c r="C9" s="49"/>
      <c r="D9" s="50">
        <f>SUM(D5:D8)</f>
        <v>31</v>
      </c>
      <c r="H9" s="51">
        <f>SUM(I8:M8)</f>
        <v>78</v>
      </c>
      <c r="I9" s="52"/>
      <c r="J9" s="52"/>
      <c r="K9" s="52"/>
      <c r="L9" s="52"/>
      <c r="M9" s="48"/>
    </row>
    <row r="10" spans="1:13" ht="15.6" thickTop="1" thickBot="1" x14ac:dyDescent="0.35">
      <c r="A10" s="51">
        <f>SUM(B9,D9)</f>
        <v>78</v>
      </c>
      <c r="B10" s="52"/>
      <c r="C10" s="52"/>
      <c r="D10" s="48"/>
      <c r="H10" s="53"/>
      <c r="I10" s="54"/>
      <c r="J10" s="54"/>
      <c r="K10" s="54"/>
      <c r="L10" s="54"/>
      <c r="M10" s="55"/>
    </row>
    <row r="11" spans="1:13" ht="15.6" thickTop="1" thickBot="1" x14ac:dyDescent="0.35">
      <c r="A11" s="53"/>
      <c r="B11" s="54"/>
      <c r="C11" s="54"/>
      <c r="D11" s="55"/>
    </row>
    <row r="12" spans="1:13" ht="15" thickTop="1" x14ac:dyDescent="0.3"/>
  </sheetData>
  <mergeCells count="9">
    <mergeCell ref="H9:M10"/>
    <mergeCell ref="A10:D11"/>
    <mergeCell ref="A1:D2"/>
    <mergeCell ref="H1:M2"/>
    <mergeCell ref="A3:B4"/>
    <mergeCell ref="C3:D4"/>
    <mergeCell ref="H3:I4"/>
    <mergeCell ref="J3:K4"/>
    <mergeCell ref="L3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1820-932D-442D-997B-6E544B6D6EA5}">
  <dimension ref="A3:H13"/>
  <sheetViews>
    <sheetView workbookViewId="0">
      <selection activeCell="D21" sqref="D21"/>
    </sheetView>
  </sheetViews>
  <sheetFormatPr defaultRowHeight="14.4" x14ac:dyDescent="0.3"/>
  <cols>
    <col min="2" max="2" width="23.6640625" bestFit="1" customWidth="1"/>
    <col min="3" max="3" width="8" bestFit="1" customWidth="1"/>
    <col min="4" max="4" width="24.109375" bestFit="1" customWidth="1"/>
    <col min="6" max="6" width="17.5546875" bestFit="1" customWidth="1"/>
  </cols>
  <sheetData>
    <row r="3" spans="1:8" ht="15" thickBot="1" x14ac:dyDescent="0.35"/>
    <row r="4" spans="1:8" ht="15" thickTop="1" x14ac:dyDescent="0.3">
      <c r="B4" s="25" t="s">
        <v>32</v>
      </c>
      <c r="C4" s="26"/>
      <c r="D4" s="25" t="s">
        <v>33</v>
      </c>
      <c r="E4" s="26"/>
      <c r="F4" s="25" t="s">
        <v>34</v>
      </c>
      <c r="G4" s="26"/>
    </row>
    <row r="5" spans="1:8" ht="15" thickBot="1" x14ac:dyDescent="0.35">
      <c r="B5" s="27"/>
      <c r="C5" s="28"/>
      <c r="D5" s="27"/>
      <c r="E5" s="28"/>
      <c r="F5" s="27"/>
      <c r="G5" s="28"/>
    </row>
    <row r="6" spans="1:8" ht="15" thickTop="1" x14ac:dyDescent="0.3">
      <c r="B6" s="29" t="s">
        <v>35</v>
      </c>
      <c r="C6" s="30">
        <f>'P&amp;L'!B11</f>
        <v>3.2668350000000022</v>
      </c>
      <c r="D6" s="29" t="s">
        <v>36</v>
      </c>
      <c r="E6" s="30">
        <v>3.5</v>
      </c>
      <c r="F6" s="29" t="s">
        <v>37</v>
      </c>
      <c r="G6" s="30">
        <v>2</v>
      </c>
    </row>
    <row r="7" spans="1:8" x14ac:dyDescent="0.3">
      <c r="B7" s="31" t="s">
        <v>38</v>
      </c>
      <c r="C7" s="32">
        <v>14</v>
      </c>
      <c r="D7" s="31"/>
      <c r="E7" s="33"/>
      <c r="F7" s="31" t="s">
        <v>39</v>
      </c>
      <c r="G7" s="32">
        <v>0.5</v>
      </c>
    </row>
    <row r="8" spans="1:8" ht="15" thickBot="1" x14ac:dyDescent="0.35">
      <c r="B8" s="34" t="s">
        <v>40</v>
      </c>
      <c r="C8" s="35">
        <f>BS!D5+BS!D6-BS!M5</f>
        <v>4</v>
      </c>
      <c r="D8" s="34"/>
      <c r="E8" s="36"/>
      <c r="F8" s="34"/>
      <c r="G8" s="36"/>
    </row>
    <row r="9" spans="1:8" ht="15.6" thickTop="1" thickBot="1" x14ac:dyDescent="0.35">
      <c r="B9" s="37" t="s">
        <v>41</v>
      </c>
      <c r="C9" s="32">
        <f>SUM(C6:C7)-C8</f>
        <v>13.266835</v>
      </c>
      <c r="D9" s="37" t="s">
        <v>42</v>
      </c>
      <c r="E9" s="32">
        <f>E6</f>
        <v>3.5</v>
      </c>
      <c r="F9" s="37" t="s">
        <v>43</v>
      </c>
      <c r="G9" s="32">
        <f>SUM(G6:G7)</f>
        <v>2.5</v>
      </c>
    </row>
    <row r="10" spans="1:8" ht="15" thickTop="1" x14ac:dyDescent="0.3">
      <c r="A10" s="78"/>
      <c r="B10" s="38"/>
      <c r="C10" s="38"/>
      <c r="D10" s="38"/>
      <c r="E10" s="38"/>
      <c r="F10" s="38"/>
      <c r="G10" s="38"/>
      <c r="H10" s="78"/>
    </row>
    <row r="11" spans="1:8" x14ac:dyDescent="0.3">
      <c r="A11" s="78"/>
      <c r="B11" s="79"/>
      <c r="C11" s="77"/>
      <c r="D11" s="77"/>
      <c r="E11" s="77"/>
      <c r="F11" s="77"/>
      <c r="G11" s="77"/>
      <c r="H11" s="78"/>
    </row>
    <row r="12" spans="1:8" x14ac:dyDescent="0.3">
      <c r="A12" s="78"/>
      <c r="D12" s="78"/>
    </row>
    <row r="13" spans="1:8" x14ac:dyDescent="0.3">
      <c r="D13" s="78"/>
    </row>
  </sheetData>
  <mergeCells count="5">
    <mergeCell ref="B4:C5"/>
    <mergeCell ref="D4:E5"/>
    <mergeCell ref="F4:G5"/>
    <mergeCell ref="B10:G10"/>
    <mergeCell ref="B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90C7-4BA4-4A0F-88BC-B289A3F0CCD5}">
  <dimension ref="A1:N8"/>
  <sheetViews>
    <sheetView workbookViewId="0">
      <selection activeCell="B10" sqref="B10"/>
    </sheetView>
  </sheetViews>
  <sheetFormatPr defaultRowHeight="14.4" x14ac:dyDescent="0.3"/>
  <cols>
    <col min="1" max="1" width="38.5546875" customWidth="1"/>
  </cols>
  <sheetData>
    <row r="1" spans="1:14" ht="15" thickBot="1" x14ac:dyDescent="0.35"/>
    <row r="2" spans="1:14" ht="15" thickBot="1" x14ac:dyDescent="0.35">
      <c r="A2" s="5"/>
      <c r="B2" s="7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9" t="s">
        <v>19</v>
      </c>
    </row>
    <row r="3" spans="1:14" ht="15" thickBot="1" x14ac:dyDescent="0.35">
      <c r="A3" s="10" t="s">
        <v>20</v>
      </c>
      <c r="B3" s="11">
        <v>1.95</v>
      </c>
      <c r="C3" s="11">
        <v>2.0499999999999998</v>
      </c>
      <c r="D3" s="11">
        <v>2.4</v>
      </c>
      <c r="E3" s="11">
        <v>2.65</v>
      </c>
      <c r="F3" s="11">
        <v>2.85</v>
      </c>
      <c r="G3" s="11">
        <v>2.95</v>
      </c>
      <c r="H3" s="11">
        <v>2.8</v>
      </c>
      <c r="I3" s="11">
        <v>2.5499999999999998</v>
      </c>
      <c r="J3" s="11">
        <v>2.4500000000000002</v>
      </c>
      <c r="K3" s="11">
        <v>2.5499999999999998</v>
      </c>
      <c r="L3" s="11">
        <v>2.7</v>
      </c>
      <c r="M3" s="12">
        <v>2.85</v>
      </c>
      <c r="N3" s="18">
        <f>SUM(B3:M3)</f>
        <v>30.750000000000004</v>
      </c>
    </row>
    <row r="4" spans="1:14" ht="15" thickBot="1" x14ac:dyDescent="0.35">
      <c r="A4" s="10" t="s">
        <v>21</v>
      </c>
      <c r="B4" s="13">
        <v>0.55000000000000004</v>
      </c>
      <c r="C4" s="13">
        <v>0.6</v>
      </c>
      <c r="D4" s="13">
        <v>0.7</v>
      </c>
      <c r="E4" s="13">
        <v>0.75</v>
      </c>
      <c r="F4" s="13">
        <v>0.85</v>
      </c>
      <c r="G4" s="13">
        <v>0.9</v>
      </c>
      <c r="H4" s="13">
        <v>0.85</v>
      </c>
      <c r="I4" s="13">
        <v>0.75</v>
      </c>
      <c r="J4" s="13">
        <v>0.7</v>
      </c>
      <c r="K4" s="13">
        <v>0.75</v>
      </c>
      <c r="L4" s="13">
        <v>0.8</v>
      </c>
      <c r="M4" s="14">
        <v>0.9</v>
      </c>
      <c r="N4" s="18">
        <f t="shared" ref="N4:N7" si="0">SUM(B4:M4)</f>
        <v>9.1</v>
      </c>
    </row>
    <row r="5" spans="1:14" ht="15" thickBot="1" x14ac:dyDescent="0.35">
      <c r="A5" s="10" t="s">
        <v>22</v>
      </c>
      <c r="B5" s="13">
        <v>0.4</v>
      </c>
      <c r="C5" s="13">
        <v>0.45</v>
      </c>
      <c r="D5" s="13">
        <v>0.5</v>
      </c>
      <c r="E5" s="13">
        <v>0.5</v>
      </c>
      <c r="F5" s="13">
        <v>0.55000000000000004</v>
      </c>
      <c r="G5" s="13">
        <v>0.6</v>
      </c>
      <c r="H5" s="13">
        <v>0.55000000000000004</v>
      </c>
      <c r="I5" s="13">
        <v>0.45</v>
      </c>
      <c r="J5" s="13">
        <v>0.4</v>
      </c>
      <c r="K5" s="13">
        <v>0.45</v>
      </c>
      <c r="L5" s="13">
        <v>0.5</v>
      </c>
      <c r="M5" s="14">
        <v>0.48</v>
      </c>
      <c r="N5" s="18">
        <f t="shared" si="0"/>
        <v>5.8300000000000018</v>
      </c>
    </row>
    <row r="6" spans="1:14" ht="15" thickBot="1" x14ac:dyDescent="0.35">
      <c r="A6" s="10" t="s">
        <v>23</v>
      </c>
      <c r="B6" s="13">
        <v>0.2</v>
      </c>
      <c r="C6" s="13">
        <v>0.2</v>
      </c>
      <c r="D6" s="13">
        <v>0.22</v>
      </c>
      <c r="E6" s="13">
        <v>0.24</v>
      </c>
      <c r="F6" s="13">
        <v>0.26</v>
      </c>
      <c r="G6" s="13">
        <v>0.28000000000000003</v>
      </c>
      <c r="H6" s="13">
        <v>0.26</v>
      </c>
      <c r="I6" s="13">
        <v>0.24</v>
      </c>
      <c r="J6" s="13">
        <v>0.23</v>
      </c>
      <c r="K6" s="13">
        <v>0.25</v>
      </c>
      <c r="L6" s="13">
        <v>0.28000000000000003</v>
      </c>
      <c r="M6" s="14">
        <v>0.26</v>
      </c>
      <c r="N6" s="18">
        <f t="shared" si="0"/>
        <v>2.92</v>
      </c>
    </row>
    <row r="7" spans="1:14" ht="15" thickBot="1" x14ac:dyDescent="0.35">
      <c r="A7" s="10" t="s">
        <v>24</v>
      </c>
      <c r="B7" s="15">
        <v>0.1</v>
      </c>
      <c r="C7" s="15">
        <v>0.1</v>
      </c>
      <c r="D7" s="15">
        <v>0.13</v>
      </c>
      <c r="E7" s="15">
        <v>0.16</v>
      </c>
      <c r="F7" s="15">
        <v>0.18</v>
      </c>
      <c r="G7" s="15">
        <v>0.2</v>
      </c>
      <c r="H7" s="15">
        <v>0.18</v>
      </c>
      <c r="I7" s="15">
        <v>0.16</v>
      </c>
      <c r="J7" s="15">
        <v>0.15</v>
      </c>
      <c r="K7" s="15">
        <v>0.16</v>
      </c>
      <c r="L7" s="15">
        <v>0.17</v>
      </c>
      <c r="M7" s="16">
        <v>0.16</v>
      </c>
      <c r="N7" s="18">
        <f t="shared" si="0"/>
        <v>1.8499999999999994</v>
      </c>
    </row>
    <row r="8" spans="1:14" ht="15" thickBot="1" x14ac:dyDescent="0.35">
      <c r="A8" s="6" t="s">
        <v>25</v>
      </c>
      <c r="B8" s="17">
        <f>SUM(B3:B7)</f>
        <v>3.2</v>
      </c>
      <c r="C8" s="17">
        <f t="shared" ref="C8:M8" si="1">SUM(C3:C7)</f>
        <v>3.4000000000000004</v>
      </c>
      <c r="D8" s="17">
        <f t="shared" si="1"/>
        <v>3.9499999999999997</v>
      </c>
      <c r="E8" s="17">
        <f t="shared" si="1"/>
        <v>4.3</v>
      </c>
      <c r="F8" s="17">
        <f t="shared" si="1"/>
        <v>4.6899999999999995</v>
      </c>
      <c r="G8" s="17">
        <f t="shared" si="1"/>
        <v>4.9300000000000006</v>
      </c>
      <c r="H8" s="17">
        <f t="shared" si="1"/>
        <v>4.6399999999999997</v>
      </c>
      <c r="I8" s="17">
        <f t="shared" si="1"/>
        <v>4.1500000000000004</v>
      </c>
      <c r="J8" s="17">
        <f t="shared" si="1"/>
        <v>3.93</v>
      </c>
      <c r="K8" s="17">
        <f t="shared" si="1"/>
        <v>4.16</v>
      </c>
      <c r="L8" s="17">
        <f t="shared" si="1"/>
        <v>4.45</v>
      </c>
      <c r="M8" s="17">
        <f t="shared" si="1"/>
        <v>4.6500000000000004</v>
      </c>
      <c r="N8" s="19">
        <f>SUM(N3:N7)</f>
        <v>50.45000000000001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FFA1-6834-446A-9C30-417E604E931A}">
  <dimension ref="A2:B8"/>
  <sheetViews>
    <sheetView workbookViewId="0">
      <selection activeCell="B7" sqref="B7"/>
    </sheetView>
  </sheetViews>
  <sheetFormatPr defaultRowHeight="14.4" x14ac:dyDescent="0.3"/>
  <cols>
    <col min="1" max="1" width="17.5546875" customWidth="1"/>
    <col min="2" max="2" width="19" customWidth="1"/>
  </cols>
  <sheetData>
    <row r="2" spans="1:2" x14ac:dyDescent="0.3">
      <c r="A2" s="72" t="s">
        <v>26</v>
      </c>
      <c r="B2" s="73"/>
    </row>
    <row r="3" spans="1:2" x14ac:dyDescent="0.3">
      <c r="A3" s="20"/>
      <c r="B3" s="74"/>
    </row>
    <row r="4" spans="1:2" x14ac:dyDescent="0.3">
      <c r="A4" s="21" t="s">
        <v>27</v>
      </c>
      <c r="B4" s="22">
        <v>0.34</v>
      </c>
    </row>
    <row r="5" spans="1:2" x14ac:dyDescent="0.3">
      <c r="A5" s="21" t="s">
        <v>28</v>
      </c>
      <c r="B5" s="22">
        <v>0.24</v>
      </c>
    </row>
    <row r="6" spans="1:2" x14ac:dyDescent="0.3">
      <c r="A6" s="21" t="s">
        <v>29</v>
      </c>
      <c r="B6" s="23">
        <v>1.4999999999999999E-2</v>
      </c>
    </row>
    <row r="7" spans="1:2" x14ac:dyDescent="0.3">
      <c r="A7" s="21" t="s">
        <v>30</v>
      </c>
      <c r="B7" s="24">
        <f>0.065</f>
        <v>6.5000000000000002E-2</v>
      </c>
    </row>
    <row r="8" spans="1:2" x14ac:dyDescent="0.3">
      <c r="A8" s="21" t="s">
        <v>31</v>
      </c>
      <c r="B8" s="23">
        <v>0.22</v>
      </c>
    </row>
  </sheetData>
  <mergeCells count="1"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P&amp;L</vt:lpstr>
      <vt:lpstr>KPI</vt:lpstr>
      <vt:lpstr>BS</vt:lpstr>
      <vt:lpstr>CF</vt:lpstr>
      <vt:lpstr>Revenue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S. Salimli</dc:creator>
  <cp:lastModifiedBy>Aziz S. Salimli</cp:lastModifiedBy>
  <dcterms:created xsi:type="dcterms:W3CDTF">2025-12-19T07:37:37Z</dcterms:created>
  <dcterms:modified xsi:type="dcterms:W3CDTF">2025-12-19T08:32:31Z</dcterms:modified>
</cp:coreProperties>
</file>