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imlias\Desktop\Work\Personal\"/>
    </mc:Choice>
  </mc:AlternateContent>
  <xr:revisionPtr revIDLastSave="0" documentId="13_ncr:1_{538CC623-35E3-4B82-829D-2819418ED0DA}" xr6:coauthVersionLast="47" xr6:coauthVersionMax="47" xr10:uidLastSave="{00000000-0000-0000-0000-000000000000}"/>
  <bookViews>
    <workbookView xWindow="-23148" yWindow="-108" windowWidth="23256" windowHeight="14616" firstSheet="1" activeTab="6" xr2:uid="{1D9D3711-D778-46CF-855E-01F331E1F97A}"/>
  </bookViews>
  <sheets>
    <sheet name="OVERVIEW" sheetId="1" r:id="rId1"/>
    <sheet name="FEATURES" sheetId="2" r:id="rId2"/>
    <sheet name="MONETIZATION" sheetId="3" r:id="rId3"/>
    <sheet name="COMPETITORS" sheetId="4" r:id="rId4"/>
    <sheet name="ROADMAP" sheetId="5" r:id="rId5"/>
    <sheet name="CUSTOMER PERSONA " sheetId="6" r:id="rId6"/>
    <sheet name="USER RESEARCH" sheetId="7" r:id="rId7"/>
    <sheet name="Sheet8" sheetId="8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3" l="1"/>
</calcChain>
</file>

<file path=xl/sharedStrings.xml><?xml version="1.0" encoding="utf-8"?>
<sst xmlns="http://schemas.openxmlformats.org/spreadsheetml/2006/main" count="287" uniqueCount="243">
  <si>
    <t>Section</t>
  </si>
  <si>
    <t>Content</t>
  </si>
  <si>
    <t>Project Name</t>
  </si>
  <si>
    <t>YOL+</t>
  </si>
  <si>
    <t>Tagline</t>
  </si>
  <si>
    <t>Проверка автомобиля перед покупкой за 30 секунд</t>
  </si>
  <si>
    <t>Problem</t>
  </si>
  <si>
    <t>Рынок подержанных автомобилей в Азербайджане непрозрачен: скрученные пробеги, скрытые ДТП, отсутствие достоверной истории автомобиля</t>
  </si>
  <si>
    <t>Solution</t>
  </si>
  <si>
    <t>Онлайн-платформа для проверки автомобилей по VIN с предоставлением истории, аналитики и оценки рисков перед покупкой</t>
  </si>
  <si>
    <t>Target Audience</t>
  </si>
  <si>
    <t>Частные покупатели автомобилей 
Перекупы и авто-дилеры</t>
  </si>
  <si>
    <t>Value Proposition</t>
  </si>
  <si>
    <t>Снижение риска покупки проблемного автомобиля
Экономия денег и времени
Повышение доверия к сделке</t>
  </si>
  <si>
    <t>Revenue Streams</t>
  </si>
  <si>
    <t>Платные отчеты (разовая покупка)
Подписка для профессиональных пользователей
Партнерские лиды (сервисы, эксперты</t>
  </si>
  <si>
    <t>Market Opportunity</t>
  </si>
  <si>
    <t>Высокий спрос на автомобили с пробегом в Азербайджане при низком уровне прозрачности рынка</t>
  </si>
  <si>
    <t>Feature</t>
  </si>
  <si>
    <t>Description</t>
  </si>
  <si>
    <t>User Value</t>
  </si>
  <si>
    <t>Priority</t>
  </si>
  <si>
    <t>VIN Check</t>
  </si>
  <si>
    <t>Ввод VIN-кода автомобиля для получения данных</t>
  </si>
  <si>
    <t>Быстрое получение информации перед покупкой</t>
  </si>
  <si>
    <t>High</t>
  </si>
  <si>
    <t>Accident History</t>
  </si>
  <si>
    <t>Проверка автомобиля на участие в ДТП</t>
  </si>
  <si>
    <t>Понимание реального состояния машины</t>
  </si>
  <si>
    <t>Mileage Verification</t>
  </si>
  <si>
    <t>Анализ пробега и выявление скрутки</t>
  </si>
  <si>
    <t>Защита от переплаты за авто</t>
  </si>
  <si>
    <t>Auction History (USA/Europe)</t>
  </si>
  <si>
    <t>Фотографии автомобиля из прошлых источников</t>
  </si>
  <si>
    <t>Визуальное подтверждение повреждений</t>
  </si>
  <si>
    <t>Market Price Estimation</t>
  </si>
  <si>
    <t>Оценка реальной рыночной стоимости</t>
  </si>
  <si>
    <t>Помогает не переплатить</t>
  </si>
  <si>
    <t>Medium</t>
  </si>
  <si>
    <t>Risk Score</t>
  </si>
  <si>
    <t>Общий рейтинг надежности автомобиля</t>
  </si>
  <si>
    <t>Быстрое принятие решения</t>
  </si>
  <si>
    <t>PDF Report Generation</t>
  </si>
  <si>
    <t>Формирование полного отчета</t>
  </si>
  <si>
    <t>Удобство сохранения и передачи</t>
  </si>
  <si>
    <t>Bulk Check (для дилеров)</t>
  </si>
  <si>
    <t>Массовая проверка нескольких автомобилей</t>
  </si>
  <si>
    <t>Экономия времени для перекупов</t>
  </si>
  <si>
    <t>Low</t>
  </si>
  <si>
    <t>Telegram Integration</t>
  </si>
  <si>
    <t>Уведомления и быстрый доступ через Telegram</t>
  </si>
  <si>
    <t>Удобство использования</t>
  </si>
  <si>
    <t>Model</t>
  </si>
  <si>
    <t>What Included</t>
  </si>
  <si>
    <t>Price (AZN)</t>
  </si>
  <si>
    <t>Target User</t>
  </si>
  <si>
    <t>Notes / Logic</t>
  </si>
  <si>
    <t>Basic Report</t>
  </si>
  <si>
    <t>Краткая проверка (пробег, базовая инфа)</t>
  </si>
  <si>
    <t>7 AZN</t>
  </si>
  <si>
    <t>Частный пользователь</t>
  </si>
  <si>
    <t>Точка входа, низкий барьер</t>
  </si>
  <si>
    <t>Full Report</t>
  </si>
  <si>
    <t>Полный отчет (ДТП, аукционы, фото, риски)</t>
  </si>
  <si>
    <t>20 AZN</t>
  </si>
  <si>
    <t>Покупатель авто</t>
  </si>
  <si>
    <t>Основной продукт</t>
  </si>
  <si>
    <t>Dealer Subscription</t>
  </si>
  <si>
    <t>Безлимит или пакет проверок (например 50/100)</t>
  </si>
  <si>
    <t>79–149 AZN / месяц</t>
  </si>
  <si>
    <t>Перекупы / дилеры</t>
  </si>
  <si>
    <t>Повторяющийся доход</t>
  </si>
  <si>
    <t>Lead Generation</t>
  </si>
  <si>
    <t>Передача клиента автоэкспертам / сервисам</t>
  </si>
  <si>
    <t>5–20 AZN за лид</t>
  </si>
  <si>
    <t>Партнеры</t>
  </si>
  <si>
    <t>Дополнительный доход</t>
  </si>
  <si>
    <t>Average Check (средний чек)</t>
  </si>
  <si>
    <t>≈ 15–18 AZN</t>
  </si>
  <si>
    <t>Conversion Rate (примерно)</t>
  </si>
  <si>
    <t>5–10% от пользователей</t>
  </si>
  <si>
    <t>Main Revenue Driver</t>
  </si>
  <si>
    <t>Monthly Scenario (пример)</t>
  </si>
  <si>
    <t>Data</t>
  </si>
  <si>
    <t>1000 пользователей</t>
  </si>
  <si>
    <t>Total</t>
  </si>
  <si>
    <t>Users</t>
  </si>
  <si>
    <t>Checks</t>
  </si>
  <si>
    <t>Basic</t>
  </si>
  <si>
    <t>Full</t>
  </si>
  <si>
    <t>Competitor</t>
  </si>
  <si>
    <t>What they do</t>
  </si>
  <si>
    <t>Weakness</t>
  </si>
  <si>
    <t>YOL+ Advantage</t>
  </si>
  <si>
    <t>Tap.az</t>
  </si>
  <si>
    <t>Площадка объявлений по продаже авто</t>
  </si>
  <si>
    <t>Нет проверки авто, высокий риск обмана</t>
  </si>
  <si>
    <t>Добавляем слой доверия через проверку VIN</t>
  </si>
  <si>
    <t>Turbo.az</t>
  </si>
  <si>
    <t>Крупный авто-маркетплейс</t>
  </si>
  <si>
    <t>Нет прозрачной истории авто</t>
  </si>
  <si>
    <t>Проверка + аналитика перед покупкой</t>
  </si>
  <si>
    <t>CarVertical</t>
  </si>
  <si>
    <t>Отчеты по VIN (международный сервис)</t>
  </si>
  <si>
    <t>Дорого, не адаптирован под локальный рынок</t>
  </si>
  <si>
    <t>Дешевле + локализация под Азербайджан</t>
  </si>
  <si>
    <t>AutoCheck / Carfax</t>
  </si>
  <si>
    <t>Глубокие отчеты (в основном США)</t>
  </si>
  <si>
    <t>Неудобны для локального пользователя</t>
  </si>
  <si>
    <t>Простой интерфейс + локальная ценность</t>
  </si>
  <si>
    <t>Local Dealers / Перекупы</t>
  </si>
  <si>
    <t>Продажа автомобилей</t>
  </si>
  <si>
    <t>Низкий уровень доверия</t>
  </si>
  <si>
    <t>Независимая проверка перед покупкой</t>
  </si>
  <si>
    <t>Цена</t>
  </si>
  <si>
    <t>Локализация</t>
  </si>
  <si>
    <t>Удобство</t>
  </si>
  <si>
    <t>Данные</t>
  </si>
  <si>
    <t>+</t>
  </si>
  <si>
    <t>-</t>
  </si>
  <si>
    <t>Phase</t>
  </si>
  <si>
    <t>Goal</t>
  </si>
  <si>
    <t>Key Tasks</t>
  </si>
  <si>
    <t>Timeline</t>
  </si>
  <si>
    <t>MVP Launch</t>
  </si>
  <si>
    <t>Запуск первой версии продукта</t>
  </si>
  <si>
    <t>VIN input, базовый отчет, простой UI</t>
  </si>
  <si>
    <t>2–3 недели</t>
  </si>
  <si>
    <t>First Sales</t>
  </si>
  <si>
    <t>Получение первых платящих клиентов</t>
  </si>
  <si>
    <t>Landing page, ручные продажи, Telegram</t>
  </si>
  <si>
    <t>2 недели</t>
  </si>
  <si>
    <t>Marketing Start</t>
  </si>
  <si>
    <t>Привлечение трафика</t>
  </si>
  <si>
    <t>TikTok, Reels, кейсы “битых авто”</t>
  </si>
  <si>
    <t>1 месяц</t>
  </si>
  <si>
    <t>KPI</t>
  </si>
  <si>
    <t>10–20 пользователей</t>
  </si>
  <si>
    <t>10 продаж</t>
  </si>
  <si>
    <t>Product Improvement</t>
  </si>
  <si>
    <t>Улучшение продукта на основе фидбека</t>
  </si>
  <si>
    <t>Добавление фото, risk score, UX</t>
  </si>
  <si>
    <t>1–2 месяца</t>
  </si>
  <si>
    <t>Retention &gt; 20%</t>
  </si>
  <si>
    <t>Monetization Growth</t>
  </si>
  <si>
    <t>Рост дохода</t>
  </si>
  <si>
    <t>Введение подписки, пакетов</t>
  </si>
  <si>
    <t>2–3 месяца</t>
  </si>
  <si>
    <t>1000+ AZN / мес</t>
  </si>
  <si>
    <t>B2B Expansion</t>
  </si>
  <si>
    <t>Работа с дилерами</t>
  </si>
  <si>
    <t>Пакеты для перекупов, партнерства</t>
  </si>
  <si>
    <t>3–6 месяцев</t>
  </si>
  <si>
    <t>5–10 B2B клиентов</t>
  </si>
  <si>
    <t>Segment</t>
  </si>
  <si>
    <t>Goals</t>
  </si>
  <si>
    <t>Pain Points</t>
  </si>
  <si>
    <t>Behavior</t>
  </si>
  <si>
    <t>Buying Trigger</t>
  </si>
  <si>
    <t>Willingness to Pay</t>
  </si>
  <si>
    <t>Private Car Buyers</t>
  </si>
  <si>
    <t>Люди, покупающие автомобиль для личного использования</t>
  </si>
  <si>
    <t>Купить надежный автомобиль без скрытых проблем</t>
  </si>
  <si>
    <t>Недоверие к продавцам
Риск скрытых ДТП
Скрученный пробег</t>
  </si>
  <si>
    <t>Просматривают Tap.az / Turbo.az
Сравнивают цены
Советуются с окружением</t>
  </si>
  <si>
    <t>Нахождение подходящего автомобиля</t>
  </si>
  <si>
    <t>5–20 AZN за проверку</t>
  </si>
  <si>
    <t>Car Dealers / Resellers</t>
  </si>
  <si>
    <t>Профессиональные участники рынка (перекупы, дилеры)</t>
  </si>
  <si>
    <t>Быстро находить выгодные автомобили</t>
  </si>
  <si>
    <t>Потеря времени на проверки
Риск купить проблемное авто
Необходимость обрабатывать много вариантов</t>
  </si>
  <si>
    <t>Мониторят рынок ежедневно
Работают с объемом
Принимают быстрые решения</t>
  </si>
  <si>
    <t>Каждая новая потенциальная покупка</t>
  </si>
  <si>
    <t>50–150 AZN / месяц</t>
  </si>
  <si>
    <t>First-time Buyers</t>
  </si>
  <si>
    <t>Люди, покупающие первый автомобиль</t>
  </si>
  <si>
    <t>Безопасно совершить первую покупку</t>
  </si>
  <si>
    <t>Полное отсутствие опыта
Высокий страх ошибки
Зависимость от советов</t>
  </si>
  <si>
    <t>Долго выбирают
Читают отзывы
Сильно сомневаются</t>
  </si>
  <si>
    <t>Финальное решение перед покупкой</t>
  </si>
  <si>
    <t>10–20 AZN</t>
  </si>
  <si>
    <t>ID</t>
  </si>
  <si>
    <t>Question</t>
  </si>
  <si>
    <t>Покупали ли вы автомобиль ранее?</t>
  </si>
  <si>
    <t>Где вы обычно ищете автомобили?</t>
  </si>
  <si>
    <t>Сталкивались ли вы с обманом при покупке авто?</t>
  </si>
  <si>
    <t>Насколько вы доверяете продавцам автомобилей? (1–5)</t>
  </si>
  <si>
    <t>Проверяете ли вы автомобиль перед покупкой? Если да — как?</t>
  </si>
  <si>
    <t>Знаете ли вы, что такое VIN-проверка?</t>
  </si>
  <si>
    <t>Пользовались ли вы сервисами проверки авто (CarVertical и др.)?</t>
  </si>
  <si>
    <t>Что для вас самое важное при покупке авто?</t>
  </si>
  <si>
    <t>Готовы ли вы заплатить за проверку автомобиля перед покупкой?</t>
  </si>
  <si>
    <t>Сколько вы готовы заплатить за такую услугу?</t>
  </si>
  <si>
    <t>Что вас больше всего пугает при покупке авто?</t>
  </si>
  <si>
    <t>Ответы</t>
  </si>
  <si>
    <t>Да</t>
  </si>
  <si>
    <t>Нет</t>
  </si>
  <si>
    <t>Турбо аз</t>
  </si>
  <si>
    <t>Знакомые</t>
  </si>
  <si>
    <t>Очень часто</t>
  </si>
  <si>
    <t>Средний результат</t>
  </si>
  <si>
    <t>Да, мастера</t>
  </si>
  <si>
    <t xml:space="preserve">Да, из америки </t>
  </si>
  <si>
    <t>Да азербайджае</t>
  </si>
  <si>
    <t>Нет Америка</t>
  </si>
  <si>
    <t>нет</t>
  </si>
  <si>
    <t xml:space="preserve">Безопасноть </t>
  </si>
  <si>
    <t>тех состояние</t>
  </si>
  <si>
    <t>внешное состояние</t>
  </si>
  <si>
    <t>Думаю да</t>
  </si>
  <si>
    <t>До 15 манат</t>
  </si>
  <si>
    <t xml:space="preserve">До 25 мант </t>
  </si>
  <si>
    <t xml:space="preserve">До 35 манат </t>
  </si>
  <si>
    <t xml:space="preserve">До 50 манат </t>
  </si>
  <si>
    <t>До 100 манат</t>
  </si>
  <si>
    <t xml:space="preserve">До 150 </t>
  </si>
  <si>
    <t>дальйшие проблемы с авто</t>
  </si>
  <si>
    <t xml:space="preserve">опасноть в случчае аварии </t>
  </si>
  <si>
    <t>Yes</t>
  </si>
  <si>
    <t>No</t>
  </si>
  <si>
    <t>Sum</t>
  </si>
  <si>
    <t>Average</t>
  </si>
  <si>
    <t>Running Total</t>
  </si>
  <si>
    <t>Count</t>
  </si>
  <si>
    <t>Friends</t>
  </si>
  <si>
    <t>Other</t>
  </si>
  <si>
    <t>Very Often</t>
  </si>
  <si>
    <t>Mechanics</t>
  </si>
  <si>
    <t>USA Services</t>
  </si>
  <si>
    <t>Azerbaijan Services</t>
  </si>
  <si>
    <t>USA No</t>
  </si>
  <si>
    <t>Safety</t>
  </si>
  <si>
    <t>Technical Condition</t>
  </si>
  <si>
    <t>Appearance</t>
  </si>
  <si>
    <t>Maybe</t>
  </si>
  <si>
    <t>Up to 15 AZN</t>
  </si>
  <si>
    <t>Up to 25 AZN</t>
  </si>
  <si>
    <t>Up to 35 AZN</t>
  </si>
  <si>
    <t>Up to 50 AZN</t>
  </si>
  <si>
    <t>Up to 100 AZN</t>
  </si>
  <si>
    <t>Up to 150 AZN</t>
  </si>
  <si>
    <t>Future Car Problems</t>
  </si>
  <si>
    <t>Accident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</si>
</sst>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3" xfId="0" applyBorder="1"/>
    <xf numFmtId="0" fontId="0" fillId="0" borderId="0" xfId="0" applyBorder="1" applyAlignment="1">
      <alignment wrapText="1"/>
    </xf>
    <xf numFmtId="0" fontId="0" fillId="0" borderId="5" xfId="0" applyBorder="1"/>
    <xf numFmtId="0" fontId="0" fillId="0" borderId="12" xfId="0" applyBorder="1" applyAlignment="1">
      <alignment wrapText="1"/>
    </xf>
    <xf numFmtId="0" fontId="0" fillId="0" borderId="6" xfId="0" applyBorder="1"/>
    <xf numFmtId="0" fontId="2" fillId="0" borderId="0" xfId="0" applyFont="1" applyBorder="1"/>
    <xf numFmtId="0" fontId="0" fillId="0" borderId="7" xfId="0" applyFill="1" applyBorder="1" applyAlignment="1">
      <alignment wrapText="1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0" fillId="0" borderId="8" xfId="0" applyBorder="1"/>
    <xf numFmtId="0" fontId="0" fillId="0" borderId="10" xfId="0" applyBorder="1"/>
    <xf numFmtId="0" fontId="0" fillId="0" borderId="17" xfId="0" applyBorder="1" applyAlignment="1">
      <alignment wrapText="1"/>
    </xf>
    <xf numFmtId="0" fontId="0" fillId="0" borderId="11" xfId="0" applyBorder="1"/>
    <xf numFmtId="0" fontId="2" fillId="0" borderId="18" xfId="0" applyFont="1" applyBorder="1"/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NumberFormat="1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16" xfId="0" applyFont="1" applyFill="1" applyBorder="1"/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Border="1"/>
    <xf numFmtId="0" fontId="2" fillId="0" borderId="1" xfId="0" applyFont="1" applyBorder="1" applyAlignment="1">
      <alignment horizontal="right"/>
    </xf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Сталкивались ли вы с обманом при покупке авто?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B9-44C9-99B8-F6589F2608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B9-44C9-99B8-F6589F2608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B9-44C9-99B8-F6589F2608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B9-44C9-99B8-F6589F26088C}"/>
              </c:ext>
            </c:extLst>
          </c:dPt>
          <c:cat>
            <c:strRef>
              <c:f>Sheet8!$Q$7:$Q$10</c:f>
              <c:strCache>
                <c:ptCount val="4"/>
                <c:pt idx="0">
                  <c:v>Very Often</c:v>
                </c:pt>
                <c:pt idx="1">
                  <c:v>Yes</c:v>
                </c:pt>
                <c:pt idx="2">
                  <c:v>No</c:v>
                </c:pt>
                <c:pt idx="3">
                  <c:v>Other</c:v>
                </c:pt>
              </c:strCache>
            </c:strRef>
          </c:cat>
          <c:val>
            <c:numRef>
              <c:f>Sheet8!$R$7:$R$10</c:f>
              <c:numCache>
                <c:formatCode>General</c:formatCode>
                <c:ptCount val="4"/>
                <c:pt idx="0">
                  <c:v>15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B9-44C9-99B8-F6589F260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Покупали ли вы автомобиль ранее?</a:t>
            </a:r>
            <a:r>
              <a:rPr lang="ru-RU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6B-40F9-A39D-31AC55A3B2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6B-40F9-A39D-31AC55A3B290}"/>
              </c:ext>
            </c:extLst>
          </c:dPt>
          <c:cat>
            <c:strRef>
              <c:f>Sheet8!$Q$3:$Q$4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Sheet8!$R$3:$R$4</c:f>
              <c:numCache>
                <c:formatCode>General</c:formatCode>
                <c:ptCount val="2"/>
                <c:pt idx="0">
                  <c:v>20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6B-40F9-A39D-31AC55A3B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Где вы обычно ищете автомобили?</a:t>
            </a:r>
            <a:r>
              <a:rPr lang="ru-RU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BD-4AA3-8D10-028DE2DBA2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BD-4AA3-8D10-028DE2DBA2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BD-4AA3-8D10-028DE2DBA204}"/>
              </c:ext>
            </c:extLst>
          </c:dPt>
          <c:cat>
            <c:strRef>
              <c:f>Sheet8!$T$3:$T$5</c:f>
              <c:strCache>
                <c:ptCount val="3"/>
                <c:pt idx="0">
                  <c:v>Turbo.az</c:v>
                </c:pt>
                <c:pt idx="1">
                  <c:v>Friends</c:v>
                </c:pt>
                <c:pt idx="2">
                  <c:v>Other</c:v>
                </c:pt>
              </c:strCache>
            </c:strRef>
          </c:cat>
          <c:val>
            <c:numRef>
              <c:f>Sheet8!$U$3:$U$5</c:f>
              <c:numCache>
                <c:formatCode>General</c:formatCode>
                <c:ptCount val="3"/>
                <c:pt idx="0">
                  <c:v>19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BD-4AA3-8D10-028DE2DBA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Проверяете ли вы автомобиль перед покупкой?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06-4A0A-9529-AE3E5C53B6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06-4A0A-9529-AE3E5C53B6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06-4A0A-9529-AE3E5C53B672}"/>
              </c:ext>
            </c:extLst>
          </c:dPt>
          <c:cat>
            <c:strRef>
              <c:f>Sheet8!$T$7:$T$9</c:f>
              <c:strCache>
                <c:ptCount val="3"/>
                <c:pt idx="0">
                  <c:v>Mechanics</c:v>
                </c:pt>
                <c:pt idx="1">
                  <c:v>Friends</c:v>
                </c:pt>
                <c:pt idx="2">
                  <c:v>Other</c:v>
                </c:pt>
              </c:strCache>
            </c:strRef>
          </c:cat>
          <c:val>
            <c:numRef>
              <c:f>Sheet8!$U$7:$U$9</c:f>
              <c:numCache>
                <c:formatCode>General</c:formatCode>
                <c:ptCount val="3"/>
                <c:pt idx="0">
                  <c:v>18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06-4A0A-9529-AE3E5C53B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Знаете ли вы, что такое </a:t>
            </a:r>
            <a:r>
              <a:rPr lang="en-US" sz="1400" b="0" i="0" u="none" strike="noStrike" baseline="0">
                <a:effectLst/>
              </a:rPr>
              <a:t>VIN-</a:t>
            </a:r>
            <a:r>
              <a:rPr lang="ru-RU" sz="1400" b="0" i="0" u="none" strike="noStrike" baseline="0">
                <a:effectLst/>
              </a:rPr>
              <a:t>проверка?</a:t>
            </a:r>
            <a:r>
              <a:rPr lang="ru-RU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A6-4B03-85BA-E124A8287B3B}"/>
              </c:ext>
            </c:extLst>
          </c:dPt>
          <c:cat>
            <c:strRef>
              <c:f>Sheet8!$Q$13</c:f>
              <c:strCache>
                <c:ptCount val="1"/>
                <c:pt idx="0">
                  <c:v>Yes</c:v>
                </c:pt>
              </c:strCache>
            </c:strRef>
          </c:cat>
          <c:val>
            <c:numRef>
              <c:f>Sheet8!$R$13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A6-4B03-85BA-E124A8287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Пользовались ли вы сервисами проверки авто (</a:t>
            </a:r>
            <a:r>
              <a:rPr lang="en-US" sz="1400" b="0" i="0" u="none" strike="noStrike" baseline="0">
                <a:effectLst/>
              </a:rPr>
              <a:t>CarVertical </a:t>
            </a:r>
            <a:r>
              <a:rPr lang="ru-RU" sz="1400" b="0" i="0" u="none" strike="noStrike" baseline="0">
                <a:effectLst/>
              </a:rPr>
              <a:t>и др.)?</a:t>
            </a:r>
            <a:r>
              <a:rPr lang="ru-RU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8E-4E7D-B6A8-92026AA558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8E-4E7D-B6A8-92026AA558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8E-4E7D-B6A8-92026AA558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8E-4E7D-B6A8-92026AA558DF}"/>
              </c:ext>
            </c:extLst>
          </c:dPt>
          <c:cat>
            <c:strRef>
              <c:f>Sheet8!$T$13:$T$16</c:f>
              <c:strCache>
                <c:ptCount val="4"/>
                <c:pt idx="0">
                  <c:v>USA Services</c:v>
                </c:pt>
                <c:pt idx="1">
                  <c:v>Azerbaijan Services</c:v>
                </c:pt>
                <c:pt idx="2">
                  <c:v>USA No</c:v>
                </c:pt>
                <c:pt idx="3">
                  <c:v>No</c:v>
                </c:pt>
              </c:strCache>
            </c:strRef>
          </c:cat>
          <c:val>
            <c:numRef>
              <c:f>Sheet8!$U$13:$U$16</c:f>
              <c:numCache>
                <c:formatCode>General</c:formatCode>
                <c:ptCount val="4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8E-4E7D-B6A8-92026AA55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Что для вас самое важное при покупке авто?</a:t>
            </a:r>
            <a:r>
              <a:rPr lang="ru-RU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F2-494A-8A3B-AA29B0A84A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F2-494A-8A3B-AA29B0A84A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F2-494A-8A3B-AA29B0A84AA1}"/>
              </c:ext>
            </c:extLst>
          </c:dPt>
          <c:cat>
            <c:strRef>
              <c:f>Sheet8!$Q$16:$Q$18</c:f>
              <c:strCache>
                <c:ptCount val="3"/>
                <c:pt idx="0">
                  <c:v>Safety</c:v>
                </c:pt>
                <c:pt idx="1">
                  <c:v>Technical Condition</c:v>
                </c:pt>
                <c:pt idx="2">
                  <c:v>Appearance</c:v>
                </c:pt>
              </c:strCache>
            </c:strRef>
          </c:cat>
          <c:val>
            <c:numRef>
              <c:f>Sheet8!$R$16:$R$18</c:f>
              <c:numCache>
                <c:formatCode>General</c:formatCode>
                <c:ptCount val="3"/>
                <c:pt idx="0">
                  <c:v>4</c:v>
                </c:pt>
                <c:pt idx="1">
                  <c:v>18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F2-494A-8A3B-AA29B0A84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Готовы ли вы заплатить за проверку автомобиля перед покупкой?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51-424A-8932-6530321F8E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51-424A-8932-6530321F8E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51-424A-8932-6530321F8E1A}"/>
              </c:ext>
            </c:extLst>
          </c:dPt>
          <c:cat>
            <c:strRef>
              <c:f>Sheet8!$Q$20:$Q$22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Sheet8!$R$20:$R$22</c:f>
              <c:numCache>
                <c:formatCode>General</c:formatCode>
                <c:ptCount val="3"/>
                <c:pt idx="0">
                  <c:v>21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51-424A-8932-6530321F8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Сколько вы готовы заплатить за такую услугу?</a:t>
            </a:r>
            <a:r>
              <a:rPr lang="ru-RU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20-449E-A373-0F8D6CFA1D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20-449E-A373-0F8D6CFA1D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20-449E-A373-0F8D6CFA1D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20-449E-A373-0F8D6CFA1D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20-449E-A373-0F8D6CFA1D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20-449E-A373-0F8D6CFA1D34}"/>
              </c:ext>
            </c:extLst>
          </c:dPt>
          <c:cat>
            <c:strRef>
              <c:f>Sheet8!$T$20:$T$25</c:f>
              <c:strCache>
                <c:ptCount val="6"/>
                <c:pt idx="0">
                  <c:v>Up to 15 AZN</c:v>
                </c:pt>
                <c:pt idx="1">
                  <c:v>Up to 25 AZN</c:v>
                </c:pt>
                <c:pt idx="2">
                  <c:v>Up to 35 AZN</c:v>
                </c:pt>
                <c:pt idx="3">
                  <c:v>Up to 50 AZN</c:v>
                </c:pt>
                <c:pt idx="4">
                  <c:v>Up to 100 AZN</c:v>
                </c:pt>
                <c:pt idx="5">
                  <c:v>Up to 150 AZN</c:v>
                </c:pt>
              </c:strCache>
            </c:strRef>
          </c:cat>
          <c:val>
            <c:numRef>
              <c:f>Sheet8!$U$20:$U$25</c:f>
              <c:numCache>
                <c:formatCode>General</c:formatCode>
                <c:ptCount val="6"/>
                <c:pt idx="0">
                  <c:v>20</c:v>
                </c:pt>
                <c:pt idx="1">
                  <c:v>17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D20-449E-A373-0F8D6CFA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Что вас больше всего пугает при покупке авто?</a:t>
            </a:r>
            <a:r>
              <a:rPr lang="ru-RU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6B-424B-8A29-FCE0ED3321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6B-424B-8A29-FCE0ED332140}"/>
              </c:ext>
            </c:extLst>
          </c:dPt>
          <c:cat>
            <c:strRef>
              <c:f>Sheet8!$Q$26:$Q$27</c:f>
              <c:strCache>
                <c:ptCount val="2"/>
                <c:pt idx="0">
                  <c:v>Future Car Problems</c:v>
                </c:pt>
                <c:pt idx="1">
                  <c:v>Accident Risk</c:v>
                </c:pt>
              </c:strCache>
            </c:strRef>
          </c:cat>
          <c:val>
            <c:numRef>
              <c:f>Sheet8!$R$26:$R$27</c:f>
              <c:numCache>
                <c:formatCode>General</c:formatCode>
                <c:ptCount val="2"/>
                <c:pt idx="0">
                  <c:v>23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B-424B-8A29-FCE0ED332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205740</xdr:rowOff>
    </xdr:from>
    <xdr:to>
      <xdr:col>11</xdr:col>
      <xdr:colOff>304800</xdr:colOff>
      <xdr:row>17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24F3AB-EBBB-432F-AB1B-54E3B76AC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1</xdr:row>
      <xdr:rowOff>0</xdr:rowOff>
    </xdr:from>
    <xdr:to>
      <xdr:col>11</xdr:col>
      <xdr:colOff>312420</xdr:colOff>
      <xdr:row>8</xdr:row>
      <xdr:rowOff>182880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2DF184-6E6C-4FAE-BB8F-BC62FC0DD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327660</xdr:colOff>
      <xdr:row>1</xdr:row>
      <xdr:rowOff>0</xdr:rowOff>
    </xdr:from>
    <xdr:to>
      <xdr:col>19</xdr:col>
      <xdr:colOff>22860</xdr:colOff>
      <xdr:row>8</xdr:row>
      <xdr:rowOff>182880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2DC614-A2BC-47E5-867F-53C74D8A8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320040</xdr:colOff>
      <xdr:row>8</xdr:row>
      <xdr:rowOff>182880</xdr:rowOff>
    </xdr:from>
    <xdr:to>
      <xdr:col>19</xdr:col>
      <xdr:colOff>15240</xdr:colOff>
      <xdr:row>16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1FC6E6-0AB1-4D0C-959D-C9DAB3DD1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594360</xdr:colOff>
      <xdr:row>17</xdr:row>
      <xdr:rowOff>30480</xdr:rowOff>
    </xdr:from>
    <xdr:to>
      <xdr:col>11</xdr:col>
      <xdr:colOff>289560</xdr:colOff>
      <xdr:row>32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56E614A-EC21-46EF-AB8F-3268915D6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297180</xdr:colOff>
      <xdr:row>17</xdr:row>
      <xdr:rowOff>38100</xdr:rowOff>
    </xdr:from>
    <xdr:to>
      <xdr:col>18</xdr:col>
      <xdr:colOff>601980</xdr:colOff>
      <xdr:row>32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92942B0-C861-49AD-82F9-82D5E975E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594360</xdr:colOff>
      <xdr:row>32</xdr:row>
      <xdr:rowOff>30480</xdr:rowOff>
    </xdr:from>
    <xdr:to>
      <xdr:col>11</xdr:col>
      <xdr:colOff>289560</xdr:colOff>
      <xdr:row>47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84A2DA-0F6D-4E9F-8205-2588A0A72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304800</xdr:colOff>
      <xdr:row>32</xdr:row>
      <xdr:rowOff>30480</xdr:rowOff>
    </xdr:from>
    <xdr:to>
      <xdr:col>19</xdr:col>
      <xdr:colOff>0</xdr:colOff>
      <xdr:row>47</xdr:row>
      <xdr:rowOff>30480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9D53324-2EC8-482C-952B-AD34572E2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7620</xdr:colOff>
      <xdr:row>47</xdr:row>
      <xdr:rowOff>38100</xdr:rowOff>
    </xdr:from>
    <xdr:to>
      <xdr:col>11</xdr:col>
      <xdr:colOff>312420</xdr:colOff>
      <xdr:row>62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7425DB-5C6A-4A21-B3F6-C9EFB0B75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335280</xdr:colOff>
      <xdr:row>47</xdr:row>
      <xdr:rowOff>22860</xdr:rowOff>
    </xdr:from>
    <xdr:to>
      <xdr:col>19</xdr:col>
      <xdr:colOff>30480</xdr:colOff>
      <xdr:row>62</xdr:row>
      <xdr:rowOff>22860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EDED226-2087-411D-BA3E-1FB752B2B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CAB7-72B5-4E6F-8668-A8FA2341101C}">
  <dimension ref="B1:C10"/>
  <sheetViews>
    <sheetView workbookViewId="0">
      <selection activeCell="B2" sqref="B2:C2"/>
    </sheetView>
  </sheetViews>
  <sheetFormatPr defaultRowHeight="14.4" x14ac:dyDescent="0.3"/>
  <cols>
    <col min="2" max="2" width="16.33203125" bestFit="1" customWidth="1"/>
    <col min="3" max="3" width="15.21875" bestFit="1" customWidth="1"/>
  </cols>
  <sheetData>
    <row r="1" spans="2:3" ht="15" thickBot="1" x14ac:dyDescent="0.35"/>
    <row r="2" spans="2:3" ht="28.8" x14ac:dyDescent="0.55000000000000004">
      <c r="B2" s="1" t="s">
        <v>0</v>
      </c>
      <c r="C2" s="2" t="s">
        <v>1</v>
      </c>
    </row>
    <row r="3" spans="2:3" x14ac:dyDescent="0.3">
      <c r="B3" s="7" t="s">
        <v>2</v>
      </c>
      <c r="C3" s="8" t="s">
        <v>3</v>
      </c>
    </row>
    <row r="4" spans="2:3" ht="57.6" x14ac:dyDescent="0.3">
      <c r="B4" s="7" t="s">
        <v>4</v>
      </c>
      <c r="C4" s="12" t="s">
        <v>5</v>
      </c>
    </row>
    <row r="5" spans="2:3" ht="172.8" x14ac:dyDescent="0.3">
      <c r="B5" s="7" t="s">
        <v>6</v>
      </c>
      <c r="C5" s="12" t="s">
        <v>7</v>
      </c>
    </row>
    <row r="6" spans="2:3" ht="144" x14ac:dyDescent="0.3">
      <c r="B6" s="7" t="s">
        <v>8</v>
      </c>
      <c r="C6" s="12" t="s">
        <v>9</v>
      </c>
    </row>
    <row r="7" spans="2:3" ht="72" x14ac:dyDescent="0.3">
      <c r="B7" s="7" t="s">
        <v>10</v>
      </c>
      <c r="C7" s="12" t="s">
        <v>11</v>
      </c>
    </row>
    <row r="8" spans="2:3" ht="129.6" x14ac:dyDescent="0.3">
      <c r="B8" s="7" t="s">
        <v>12</v>
      </c>
      <c r="C8" s="12" t="s">
        <v>13</v>
      </c>
    </row>
    <row r="9" spans="2:3" ht="144" x14ac:dyDescent="0.3">
      <c r="B9" s="7" t="s">
        <v>14</v>
      </c>
      <c r="C9" s="12" t="s">
        <v>15</v>
      </c>
    </row>
    <row r="10" spans="2:3" ht="115.8" thickBot="1" x14ac:dyDescent="0.35">
      <c r="B10" s="10" t="s">
        <v>16</v>
      </c>
      <c r="C10" s="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F4D7-EDA0-4EFD-80ED-EF3CD1871E39}">
  <dimension ref="B1:E11"/>
  <sheetViews>
    <sheetView workbookViewId="0">
      <selection activeCell="B2" sqref="B2:E2"/>
    </sheetView>
  </sheetViews>
  <sheetFormatPr defaultRowHeight="14.4" x14ac:dyDescent="0.3"/>
  <cols>
    <col min="2" max="2" width="24.5546875" bestFit="1" customWidth="1"/>
    <col min="3" max="3" width="21.33203125" bestFit="1" customWidth="1"/>
    <col min="4" max="4" width="19.88671875" bestFit="1" customWidth="1"/>
    <col min="5" max="5" width="13.6640625" bestFit="1" customWidth="1"/>
  </cols>
  <sheetData>
    <row r="1" spans="2:5" ht="15" thickBot="1" x14ac:dyDescent="0.35"/>
    <row r="2" spans="2:5" ht="28.8" x14ac:dyDescent="0.55000000000000004">
      <c r="B2" s="21" t="s">
        <v>18</v>
      </c>
      <c r="C2" s="22" t="s">
        <v>19</v>
      </c>
      <c r="D2" s="22" t="s">
        <v>20</v>
      </c>
      <c r="E2" s="23" t="s">
        <v>21</v>
      </c>
    </row>
    <row r="3" spans="2:5" ht="43.2" x14ac:dyDescent="0.3">
      <c r="B3" s="24" t="s">
        <v>22</v>
      </c>
      <c r="C3" s="6" t="s">
        <v>23</v>
      </c>
      <c r="D3" s="6" t="s">
        <v>24</v>
      </c>
      <c r="E3" s="8" t="s">
        <v>25</v>
      </c>
    </row>
    <row r="4" spans="2:5" ht="28.8" x14ac:dyDescent="0.3">
      <c r="B4" s="24" t="s">
        <v>26</v>
      </c>
      <c r="C4" s="6" t="s">
        <v>27</v>
      </c>
      <c r="D4" s="6" t="s">
        <v>28</v>
      </c>
      <c r="E4" s="8" t="s">
        <v>25</v>
      </c>
    </row>
    <row r="5" spans="2:5" ht="28.8" x14ac:dyDescent="0.3">
      <c r="B5" s="24" t="s">
        <v>29</v>
      </c>
      <c r="C5" s="6" t="s">
        <v>30</v>
      </c>
      <c r="D5" s="6" t="s">
        <v>31</v>
      </c>
      <c r="E5" s="8" t="s">
        <v>25</v>
      </c>
    </row>
    <row r="6" spans="2:5" ht="43.2" x14ac:dyDescent="0.3">
      <c r="B6" s="24" t="s">
        <v>32</v>
      </c>
      <c r="C6" s="20" t="s">
        <v>33</v>
      </c>
      <c r="D6" s="6" t="s">
        <v>34</v>
      </c>
      <c r="E6" s="8" t="s">
        <v>25</v>
      </c>
    </row>
    <row r="7" spans="2:5" ht="28.8" x14ac:dyDescent="0.3">
      <c r="B7" s="24" t="s">
        <v>35</v>
      </c>
      <c r="C7" s="6" t="s">
        <v>36</v>
      </c>
      <c r="D7" s="6" t="s">
        <v>37</v>
      </c>
      <c r="E7" s="8" t="s">
        <v>38</v>
      </c>
    </row>
    <row r="8" spans="2:5" ht="43.2" x14ac:dyDescent="0.3">
      <c r="B8" s="24" t="s">
        <v>39</v>
      </c>
      <c r="C8" s="6" t="s">
        <v>40</v>
      </c>
      <c r="D8" s="6" t="s">
        <v>41</v>
      </c>
      <c r="E8" s="8" t="s">
        <v>38</v>
      </c>
    </row>
    <row r="9" spans="2:5" ht="28.8" x14ac:dyDescent="0.3">
      <c r="B9" s="24" t="s">
        <v>42</v>
      </c>
      <c r="C9" s="6" t="s">
        <v>43</v>
      </c>
      <c r="D9" s="6" t="s">
        <v>44</v>
      </c>
      <c r="E9" s="8" t="s">
        <v>38</v>
      </c>
    </row>
    <row r="10" spans="2:5" ht="43.2" x14ac:dyDescent="0.3">
      <c r="B10" s="24" t="s">
        <v>45</v>
      </c>
      <c r="C10" s="6" t="s">
        <v>46</v>
      </c>
      <c r="D10" s="6" t="s">
        <v>47</v>
      </c>
      <c r="E10" s="8" t="s">
        <v>48</v>
      </c>
    </row>
    <row r="11" spans="2:5" ht="43.8" thickBot="1" x14ac:dyDescent="0.35">
      <c r="B11" s="25" t="s">
        <v>49</v>
      </c>
      <c r="C11" s="26" t="s">
        <v>50</v>
      </c>
      <c r="D11" s="26" t="s">
        <v>51</v>
      </c>
      <c r="E11" s="2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26DA-94E5-49D5-A8CA-67AA42299E40}">
  <dimension ref="B1:F17"/>
  <sheetViews>
    <sheetView workbookViewId="0">
      <selection activeCell="B2" sqref="B2:F2"/>
    </sheetView>
  </sheetViews>
  <sheetFormatPr defaultRowHeight="14.4" x14ac:dyDescent="0.3"/>
  <cols>
    <col min="2" max="2" width="12" bestFit="1" customWidth="1"/>
    <col min="3" max="3" width="26.5546875" bestFit="1" customWidth="1"/>
    <col min="4" max="4" width="20.44140625" bestFit="1" customWidth="1"/>
    <col min="5" max="5" width="25.109375" bestFit="1" customWidth="1"/>
    <col min="6" max="6" width="34.6640625" bestFit="1" customWidth="1"/>
  </cols>
  <sheetData>
    <row r="1" spans="2:6" ht="15" thickBot="1" x14ac:dyDescent="0.35"/>
    <row r="2" spans="2:6" ht="28.8" x14ac:dyDescent="0.55000000000000004">
      <c r="B2" s="21" t="s">
        <v>52</v>
      </c>
      <c r="C2" s="22" t="s">
        <v>53</v>
      </c>
      <c r="D2" s="22" t="s">
        <v>54</v>
      </c>
      <c r="E2" s="23" t="s">
        <v>55</v>
      </c>
      <c r="F2" s="28" t="s">
        <v>56</v>
      </c>
    </row>
    <row r="3" spans="2:6" ht="28.8" x14ac:dyDescent="0.3">
      <c r="B3" s="29" t="s">
        <v>57</v>
      </c>
      <c r="C3" s="15" t="s">
        <v>58</v>
      </c>
      <c r="D3" s="15" t="s">
        <v>59</v>
      </c>
      <c r="E3" s="15" t="s">
        <v>60</v>
      </c>
      <c r="F3" s="4" t="s">
        <v>61</v>
      </c>
    </row>
    <row r="4" spans="2:6" ht="28.8" x14ac:dyDescent="0.3">
      <c r="B4" s="29" t="s">
        <v>62</v>
      </c>
      <c r="C4" s="15" t="s">
        <v>63</v>
      </c>
      <c r="D4" s="15" t="s">
        <v>64</v>
      </c>
      <c r="E4" s="15" t="s">
        <v>65</v>
      </c>
      <c r="F4" s="4" t="s">
        <v>66</v>
      </c>
    </row>
    <row r="5" spans="2:6" ht="28.8" x14ac:dyDescent="0.3">
      <c r="B5" s="29" t="s">
        <v>67</v>
      </c>
      <c r="C5" s="15" t="s">
        <v>68</v>
      </c>
      <c r="D5" s="15" t="s">
        <v>69</v>
      </c>
      <c r="E5" s="15" t="s">
        <v>70</v>
      </c>
      <c r="F5" s="4" t="s">
        <v>71</v>
      </c>
    </row>
    <row r="6" spans="2:6" ht="29.4" thickBot="1" x14ac:dyDescent="0.35">
      <c r="B6" s="30" t="s">
        <v>72</v>
      </c>
      <c r="C6" s="17" t="s">
        <v>73</v>
      </c>
      <c r="D6" s="17" t="s">
        <v>74</v>
      </c>
      <c r="E6" s="17" t="s">
        <v>75</v>
      </c>
      <c r="F6" s="5" t="s">
        <v>76</v>
      </c>
    </row>
    <row r="7" spans="2:6" ht="15" thickBot="1" x14ac:dyDescent="0.35"/>
    <row r="8" spans="2:6" x14ac:dyDescent="0.3">
      <c r="E8" s="31" t="s">
        <v>77</v>
      </c>
      <c r="F8" s="32" t="s">
        <v>78</v>
      </c>
    </row>
    <row r="9" spans="2:6" x14ac:dyDescent="0.3">
      <c r="E9" s="14" t="s">
        <v>79</v>
      </c>
      <c r="F9" s="3" t="s">
        <v>80</v>
      </c>
    </row>
    <row r="10" spans="2:6" ht="15" thickBot="1" x14ac:dyDescent="0.35">
      <c r="E10" s="16" t="s">
        <v>81</v>
      </c>
      <c r="F10" s="18" t="s">
        <v>62</v>
      </c>
    </row>
    <row r="11" spans="2:6" ht="15" thickBot="1" x14ac:dyDescent="0.35"/>
    <row r="12" spans="2:6" x14ac:dyDescent="0.3">
      <c r="E12" s="31" t="s">
        <v>82</v>
      </c>
      <c r="F12" s="32" t="s">
        <v>83</v>
      </c>
    </row>
    <row r="13" spans="2:6" x14ac:dyDescent="0.3">
      <c r="E13" s="14" t="s">
        <v>86</v>
      </c>
      <c r="F13" s="34">
        <v>1000</v>
      </c>
    </row>
    <row r="14" spans="2:6" x14ac:dyDescent="0.3">
      <c r="E14" s="14" t="s">
        <v>87</v>
      </c>
      <c r="F14" s="35">
        <v>100</v>
      </c>
    </row>
    <row r="15" spans="2:6" x14ac:dyDescent="0.3">
      <c r="E15" s="14" t="s">
        <v>88</v>
      </c>
      <c r="F15" s="34">
        <v>70</v>
      </c>
    </row>
    <row r="16" spans="2:6" x14ac:dyDescent="0.3">
      <c r="E16" s="14" t="s">
        <v>89</v>
      </c>
      <c r="F16" s="34">
        <v>30</v>
      </c>
    </row>
    <row r="17" spans="5:6" ht="15" thickBot="1" x14ac:dyDescent="0.35">
      <c r="E17" s="16" t="s">
        <v>85</v>
      </c>
      <c r="F17" s="33">
        <f xml:space="preserve"> (70 * 7) + (30 * 20)</f>
        <v>1090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906F-AB75-4981-A250-8DFD0AC0F0A4}">
  <dimension ref="B1:F13"/>
  <sheetViews>
    <sheetView workbookViewId="0">
      <selection activeCell="B2" sqref="B2:E2"/>
    </sheetView>
  </sheetViews>
  <sheetFormatPr defaultRowHeight="14.4" x14ac:dyDescent="0.3"/>
  <cols>
    <col min="2" max="2" width="21.109375" bestFit="1" customWidth="1"/>
    <col min="3" max="3" width="23.88671875" bestFit="1" customWidth="1"/>
    <col min="4" max="4" width="19.21875" bestFit="1" customWidth="1"/>
    <col min="5" max="5" width="29.109375" bestFit="1" customWidth="1"/>
  </cols>
  <sheetData>
    <row r="1" spans="2:6" ht="15" thickBot="1" x14ac:dyDescent="0.35"/>
    <row r="2" spans="2:6" ht="28.8" x14ac:dyDescent="0.55000000000000004">
      <c r="B2" s="21" t="s">
        <v>90</v>
      </c>
      <c r="C2" s="22" t="s">
        <v>91</v>
      </c>
      <c r="D2" s="22" t="s">
        <v>92</v>
      </c>
      <c r="E2" s="23" t="s">
        <v>93</v>
      </c>
    </row>
    <row r="3" spans="2:6" ht="43.2" x14ac:dyDescent="0.3">
      <c r="B3" s="36" t="s">
        <v>94</v>
      </c>
      <c r="C3" s="15" t="s">
        <v>95</v>
      </c>
      <c r="D3" s="15" t="s">
        <v>96</v>
      </c>
      <c r="E3" s="4" t="s">
        <v>97</v>
      </c>
    </row>
    <row r="4" spans="2:6" ht="28.8" x14ac:dyDescent="0.3">
      <c r="B4" s="36" t="s">
        <v>98</v>
      </c>
      <c r="C4" s="15" t="s">
        <v>99</v>
      </c>
      <c r="D4" s="15" t="s">
        <v>100</v>
      </c>
      <c r="E4" s="4" t="s">
        <v>101</v>
      </c>
    </row>
    <row r="5" spans="2:6" ht="43.2" x14ac:dyDescent="0.3">
      <c r="B5" s="36" t="s">
        <v>102</v>
      </c>
      <c r="C5" s="15" t="s">
        <v>103</v>
      </c>
      <c r="D5" s="15" t="s">
        <v>104</v>
      </c>
      <c r="E5" s="4" t="s">
        <v>105</v>
      </c>
    </row>
    <row r="6" spans="2:6" ht="43.2" x14ac:dyDescent="0.3">
      <c r="B6" s="36" t="s">
        <v>106</v>
      </c>
      <c r="C6" s="15" t="s">
        <v>107</v>
      </c>
      <c r="D6" s="15" t="s">
        <v>108</v>
      </c>
      <c r="E6" s="4" t="s">
        <v>109</v>
      </c>
    </row>
    <row r="7" spans="2:6" ht="29.4" thickBot="1" x14ac:dyDescent="0.35">
      <c r="B7" s="37" t="s">
        <v>110</v>
      </c>
      <c r="C7" s="17" t="s">
        <v>111</v>
      </c>
      <c r="D7" s="17" t="s">
        <v>112</v>
      </c>
      <c r="E7" s="5" t="s">
        <v>113</v>
      </c>
    </row>
    <row r="9" spans="2:6" ht="15" thickBot="1" x14ac:dyDescent="0.35"/>
    <row r="10" spans="2:6" x14ac:dyDescent="0.3">
      <c r="B10" s="38"/>
      <c r="C10" s="39" t="s">
        <v>114</v>
      </c>
      <c r="D10" s="39" t="s">
        <v>115</v>
      </c>
      <c r="E10" s="39" t="s">
        <v>116</v>
      </c>
      <c r="F10" s="40" t="s">
        <v>117</v>
      </c>
    </row>
    <row r="11" spans="2:6" x14ac:dyDescent="0.3">
      <c r="B11" s="41" t="s">
        <v>94</v>
      </c>
      <c r="C11" s="42" t="s">
        <v>118</v>
      </c>
      <c r="D11" s="42" t="s">
        <v>118</v>
      </c>
      <c r="E11" s="42" t="s">
        <v>118</v>
      </c>
      <c r="F11" s="43" t="s">
        <v>119</v>
      </c>
    </row>
    <row r="12" spans="2:6" x14ac:dyDescent="0.3">
      <c r="B12" s="41" t="s">
        <v>102</v>
      </c>
      <c r="C12" s="42" t="s">
        <v>119</v>
      </c>
      <c r="D12" s="42" t="s">
        <v>119</v>
      </c>
      <c r="E12" s="42" t="s">
        <v>118</v>
      </c>
      <c r="F12" s="43" t="s">
        <v>118</v>
      </c>
    </row>
    <row r="13" spans="2:6" ht="15" thickBot="1" x14ac:dyDescent="0.35">
      <c r="B13" s="44" t="s">
        <v>3</v>
      </c>
      <c r="C13" s="45" t="s">
        <v>118</v>
      </c>
      <c r="D13" s="45" t="s">
        <v>118</v>
      </c>
      <c r="E13" s="45" t="s">
        <v>118</v>
      </c>
      <c r="F13" s="46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FEC1-A236-42EE-91E7-9B2993CF66C4}">
  <dimension ref="B2:F9"/>
  <sheetViews>
    <sheetView workbookViewId="0">
      <selection activeCell="B3" sqref="B3"/>
    </sheetView>
  </sheetViews>
  <sheetFormatPr defaultRowHeight="14.4" x14ac:dyDescent="0.3"/>
  <cols>
    <col min="2" max="2" width="11.77734375" bestFit="1" customWidth="1"/>
    <col min="3" max="3" width="14" customWidth="1"/>
    <col min="4" max="4" width="18.33203125" bestFit="1" customWidth="1"/>
    <col min="5" max="5" width="16.21875" bestFit="1" customWidth="1"/>
    <col min="6" max="6" width="16.5546875" customWidth="1"/>
  </cols>
  <sheetData>
    <row r="2" spans="2:6" ht="15" thickBot="1" x14ac:dyDescent="0.35"/>
    <row r="3" spans="2:6" ht="28.8" x14ac:dyDescent="0.55000000000000004">
      <c r="B3" s="21" t="s">
        <v>120</v>
      </c>
      <c r="C3" s="22" t="s">
        <v>121</v>
      </c>
      <c r="D3" s="22" t="s">
        <v>122</v>
      </c>
      <c r="E3" s="22" t="s">
        <v>123</v>
      </c>
      <c r="F3" s="47" t="s">
        <v>136</v>
      </c>
    </row>
    <row r="4" spans="2:6" ht="57.6" x14ac:dyDescent="0.3">
      <c r="B4" s="48" t="s">
        <v>124</v>
      </c>
      <c r="C4" s="6" t="s">
        <v>125</v>
      </c>
      <c r="D4" s="6" t="s">
        <v>126</v>
      </c>
      <c r="E4" s="6" t="s">
        <v>127</v>
      </c>
      <c r="F4" s="9" t="s">
        <v>137</v>
      </c>
    </row>
    <row r="5" spans="2:6" ht="57.6" x14ac:dyDescent="0.3">
      <c r="B5" s="48" t="s">
        <v>128</v>
      </c>
      <c r="C5" s="6" t="s">
        <v>129</v>
      </c>
      <c r="D5" s="6" t="s">
        <v>130</v>
      </c>
      <c r="E5" s="6" t="s">
        <v>131</v>
      </c>
      <c r="F5" s="9" t="s">
        <v>138</v>
      </c>
    </row>
    <row r="6" spans="2:6" ht="43.2" x14ac:dyDescent="0.3">
      <c r="B6" s="48" t="s">
        <v>132</v>
      </c>
      <c r="C6" s="6" t="s">
        <v>133</v>
      </c>
      <c r="D6" s="6" t="s">
        <v>134</v>
      </c>
      <c r="E6" s="6" t="s">
        <v>135</v>
      </c>
      <c r="F6" s="9" t="s">
        <v>84</v>
      </c>
    </row>
    <row r="7" spans="2:6" ht="72" x14ac:dyDescent="0.3">
      <c r="B7" s="48" t="s">
        <v>139</v>
      </c>
      <c r="C7" s="6" t="s">
        <v>140</v>
      </c>
      <c r="D7" s="6" t="s">
        <v>141</v>
      </c>
      <c r="E7" s="6" t="s">
        <v>142</v>
      </c>
      <c r="F7" s="9" t="s">
        <v>143</v>
      </c>
    </row>
    <row r="8" spans="2:6" ht="28.8" x14ac:dyDescent="0.3">
      <c r="B8" s="48" t="s">
        <v>144</v>
      </c>
      <c r="C8" s="6" t="s">
        <v>145</v>
      </c>
      <c r="D8" s="6" t="s">
        <v>146</v>
      </c>
      <c r="E8" s="6" t="s">
        <v>147</v>
      </c>
      <c r="F8" s="9" t="s">
        <v>148</v>
      </c>
    </row>
    <row r="9" spans="2:6" ht="43.8" thickBot="1" x14ac:dyDescent="0.35">
      <c r="B9" s="49" t="s">
        <v>149</v>
      </c>
      <c r="C9" s="26" t="s">
        <v>150</v>
      </c>
      <c r="D9" s="26" t="s">
        <v>151</v>
      </c>
      <c r="E9" s="26" t="s">
        <v>152</v>
      </c>
      <c r="F9" s="11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B19B-4BA0-47CF-B970-1C42EB8A3E8E}">
  <dimension ref="B1:I5"/>
  <sheetViews>
    <sheetView zoomScale="115" zoomScaleNormal="115" workbookViewId="0">
      <selection activeCell="I3" sqref="I3"/>
    </sheetView>
  </sheetViews>
  <sheetFormatPr defaultRowHeight="14.4" x14ac:dyDescent="0.3"/>
  <cols>
    <col min="2" max="2" width="19.44140625" bestFit="1" customWidth="1"/>
    <col min="3" max="3" width="21.33203125" bestFit="1" customWidth="1"/>
    <col min="4" max="4" width="11.21875" bestFit="1" customWidth="1"/>
    <col min="5" max="5" width="20.44140625" bestFit="1" customWidth="1"/>
    <col min="6" max="6" width="16.33203125" bestFit="1" customWidth="1"/>
    <col min="7" max="7" width="25.21875" bestFit="1" customWidth="1"/>
    <col min="8" max="8" width="32.6640625" bestFit="1" customWidth="1"/>
  </cols>
  <sheetData>
    <row r="1" spans="2:9" ht="15" thickBot="1" x14ac:dyDescent="0.35"/>
    <row r="2" spans="2:9" ht="28.8" x14ac:dyDescent="0.55000000000000004">
      <c r="B2" s="21" t="s">
        <v>154</v>
      </c>
      <c r="C2" s="22" t="s">
        <v>19</v>
      </c>
      <c r="D2" s="22" t="s">
        <v>155</v>
      </c>
      <c r="E2" s="22" t="s">
        <v>156</v>
      </c>
      <c r="F2" s="22" t="s">
        <v>157</v>
      </c>
      <c r="G2" s="22" t="s">
        <v>158</v>
      </c>
      <c r="H2" s="23" t="s">
        <v>159</v>
      </c>
      <c r="I2" s="19"/>
    </row>
    <row r="3" spans="2:9" ht="72" x14ac:dyDescent="0.3">
      <c r="B3" s="24" t="s">
        <v>160</v>
      </c>
      <c r="C3" s="6" t="s">
        <v>161</v>
      </c>
      <c r="D3" s="6" t="s">
        <v>162</v>
      </c>
      <c r="E3" s="6" t="s">
        <v>163</v>
      </c>
      <c r="F3" s="6" t="s">
        <v>164</v>
      </c>
      <c r="G3" s="6" t="s">
        <v>165</v>
      </c>
      <c r="H3" s="8" t="s">
        <v>166</v>
      </c>
      <c r="I3" s="50"/>
    </row>
    <row r="4" spans="2:9" ht="100.8" x14ac:dyDescent="0.3">
      <c r="B4" s="24" t="s">
        <v>167</v>
      </c>
      <c r="C4" s="6" t="s">
        <v>168</v>
      </c>
      <c r="D4" s="6" t="s">
        <v>169</v>
      </c>
      <c r="E4" s="6" t="s">
        <v>170</v>
      </c>
      <c r="F4" s="6" t="s">
        <v>171</v>
      </c>
      <c r="G4" s="6" t="s">
        <v>172</v>
      </c>
      <c r="H4" s="8" t="s">
        <v>173</v>
      </c>
    </row>
    <row r="5" spans="2:9" ht="87" thickBot="1" x14ac:dyDescent="0.35">
      <c r="B5" s="25" t="s">
        <v>174</v>
      </c>
      <c r="C5" s="26" t="s">
        <v>175</v>
      </c>
      <c r="D5" s="26" t="s">
        <v>176</v>
      </c>
      <c r="E5" s="26" t="s">
        <v>177</v>
      </c>
      <c r="F5" s="26" t="s">
        <v>178</v>
      </c>
      <c r="G5" s="26" t="s">
        <v>179</v>
      </c>
      <c r="H5" s="27" t="s">
        <v>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2036-1677-4A81-9897-F313FAD1891D}">
  <dimension ref="B1:D13"/>
  <sheetViews>
    <sheetView tabSelected="1" workbookViewId="0">
      <selection activeCell="N66" sqref="N66"/>
    </sheetView>
  </sheetViews>
  <sheetFormatPr defaultRowHeight="14.4" x14ac:dyDescent="0.3"/>
  <cols>
    <col min="3" max="3" width="28.88671875" customWidth="1"/>
  </cols>
  <sheetData>
    <row r="1" spans="2:4" ht="15" thickBot="1" x14ac:dyDescent="0.35"/>
    <row r="2" spans="2:4" ht="28.8" x14ac:dyDescent="0.55000000000000004">
      <c r="B2" s="51" t="s">
        <v>181</v>
      </c>
      <c r="C2" s="2" t="s">
        <v>182</v>
      </c>
    </row>
    <row r="3" spans="2:4" ht="28.8" x14ac:dyDescent="0.3">
      <c r="B3" s="14">
        <v>1</v>
      </c>
      <c r="C3" s="4" t="s">
        <v>183</v>
      </c>
    </row>
    <row r="4" spans="2:4" ht="28.8" x14ac:dyDescent="0.3">
      <c r="B4" s="14">
        <v>2</v>
      </c>
      <c r="C4" s="4" t="s">
        <v>184</v>
      </c>
    </row>
    <row r="5" spans="2:4" ht="28.8" x14ac:dyDescent="0.3">
      <c r="B5" s="14">
        <v>3</v>
      </c>
      <c r="C5" s="4" t="s">
        <v>185</v>
      </c>
    </row>
    <row r="6" spans="2:4" ht="28.8" x14ac:dyDescent="0.3">
      <c r="B6" s="14">
        <v>4</v>
      </c>
      <c r="C6" s="4" t="s">
        <v>186</v>
      </c>
      <c r="D6">
        <v>2</v>
      </c>
    </row>
    <row r="7" spans="2:4" ht="28.8" x14ac:dyDescent="0.3">
      <c r="B7" s="14">
        <v>5</v>
      </c>
      <c r="C7" s="4" t="s">
        <v>187</v>
      </c>
    </row>
    <row r="8" spans="2:4" ht="28.8" x14ac:dyDescent="0.3">
      <c r="B8" s="14">
        <v>6</v>
      </c>
      <c r="C8" s="4" t="s">
        <v>188</v>
      </c>
    </row>
    <row r="9" spans="2:4" ht="43.2" x14ac:dyDescent="0.3">
      <c r="B9" s="14">
        <v>7</v>
      </c>
      <c r="C9" s="4" t="s">
        <v>189</v>
      </c>
    </row>
    <row r="10" spans="2:4" ht="28.8" x14ac:dyDescent="0.3">
      <c r="B10" s="14">
        <v>8</v>
      </c>
      <c r="C10" s="4" t="s">
        <v>190</v>
      </c>
    </row>
    <row r="11" spans="2:4" ht="43.2" x14ac:dyDescent="0.3">
      <c r="B11" s="14">
        <v>9</v>
      </c>
      <c r="C11" s="4" t="s">
        <v>191</v>
      </c>
    </row>
    <row r="12" spans="2:4" ht="28.8" x14ac:dyDescent="0.3">
      <c r="B12" s="14">
        <v>10</v>
      </c>
      <c r="C12" s="4" t="s">
        <v>192</v>
      </c>
    </row>
    <row r="13" spans="2:4" ht="29.4" thickBot="1" x14ac:dyDescent="0.35">
      <c r="B13" s="16">
        <v>11</v>
      </c>
      <c r="C13" s="5" t="s">
        <v>193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2455-875A-4786-9BBF-9A79189DAAA1}">
  <dimension ref="B2:U27"/>
  <sheetViews>
    <sheetView topLeftCell="A12" workbookViewId="0">
      <selection activeCell="Q26" sqref="Q26:R27"/>
    </sheetView>
  </sheetViews>
  <sheetFormatPr defaultRowHeight="14.4" x14ac:dyDescent="0.3"/>
  <sheetData>
    <row r="2" spans="2:21" ht="15" thickBot="1" x14ac:dyDescent="0.35"/>
    <row r="3" spans="2:21" x14ac:dyDescent="0.3">
      <c r="B3" t="s">
        <v>194</v>
      </c>
      <c r="Q3" s="31" t="s">
        <v>218</v>
      </c>
      <c r="R3" s="32">
        <v>20</v>
      </c>
      <c r="T3" t="s">
        <v>98</v>
      </c>
      <c r="U3" s="32">
        <v>19</v>
      </c>
    </row>
    <row r="4" spans="2:21" ht="15" thickBot="1" x14ac:dyDescent="0.35">
      <c r="B4" t="s">
        <v>195</v>
      </c>
      <c r="C4">
        <v>20</v>
      </c>
      <c r="D4" t="s">
        <v>196</v>
      </c>
      <c r="E4">
        <v>3</v>
      </c>
      <c r="Q4" s="16" t="s">
        <v>219</v>
      </c>
      <c r="R4" s="18">
        <v>3</v>
      </c>
      <c r="T4" t="s">
        <v>224</v>
      </c>
      <c r="U4" s="3">
        <v>1</v>
      </c>
    </row>
    <row r="5" spans="2:21" ht="15" thickBot="1" x14ac:dyDescent="0.35">
      <c r="B5" t="s">
        <v>197</v>
      </c>
      <c r="C5">
        <v>19</v>
      </c>
      <c r="D5" t="s">
        <v>198</v>
      </c>
      <c r="E5">
        <v>1</v>
      </c>
      <c r="F5" t="s">
        <v>119</v>
      </c>
      <c r="G5">
        <v>3</v>
      </c>
      <c r="T5" s="16" t="s">
        <v>225</v>
      </c>
      <c r="U5" s="18">
        <v>3</v>
      </c>
    </row>
    <row r="6" spans="2:21" ht="15" thickBot="1" x14ac:dyDescent="0.35">
      <c r="B6" t="s">
        <v>199</v>
      </c>
      <c r="C6">
        <v>15</v>
      </c>
      <c r="D6" t="s">
        <v>195</v>
      </c>
      <c r="E6">
        <v>3</v>
      </c>
      <c r="F6" t="s">
        <v>196</v>
      </c>
      <c r="G6">
        <v>2</v>
      </c>
      <c r="H6" t="s">
        <v>119</v>
      </c>
      <c r="I6">
        <v>3</v>
      </c>
    </row>
    <row r="7" spans="2:21" ht="15" thickBot="1" x14ac:dyDescent="0.35">
      <c r="B7" t="s">
        <v>200</v>
      </c>
      <c r="C7">
        <v>2</v>
      </c>
      <c r="Q7" s="31" t="s">
        <v>226</v>
      </c>
      <c r="R7" s="32">
        <v>15</v>
      </c>
      <c r="T7" t="s">
        <v>227</v>
      </c>
      <c r="U7">
        <v>18</v>
      </c>
    </row>
    <row r="8" spans="2:21" x14ac:dyDescent="0.3">
      <c r="B8" t="s">
        <v>201</v>
      </c>
      <c r="C8">
        <v>18</v>
      </c>
      <c r="D8" t="s">
        <v>198</v>
      </c>
      <c r="E8">
        <v>2</v>
      </c>
      <c r="F8" t="s">
        <v>119</v>
      </c>
      <c r="G8">
        <v>3</v>
      </c>
      <c r="Q8" s="31" t="s">
        <v>218</v>
      </c>
      <c r="R8" s="3">
        <v>3</v>
      </c>
      <c r="T8" t="s">
        <v>224</v>
      </c>
      <c r="U8">
        <v>2</v>
      </c>
    </row>
    <row r="9" spans="2:21" ht="15" thickBot="1" x14ac:dyDescent="0.35">
      <c r="B9" t="s">
        <v>195</v>
      </c>
      <c r="C9">
        <v>23</v>
      </c>
      <c r="Q9" s="16" t="s">
        <v>219</v>
      </c>
      <c r="R9" s="3">
        <v>2</v>
      </c>
      <c r="T9" s="16" t="s">
        <v>225</v>
      </c>
      <c r="U9">
        <v>3</v>
      </c>
    </row>
    <row r="10" spans="2:21" ht="15" thickBot="1" x14ac:dyDescent="0.35">
      <c r="B10" t="s">
        <v>202</v>
      </c>
      <c r="C10">
        <v>11</v>
      </c>
      <c r="D10" t="s">
        <v>203</v>
      </c>
      <c r="E10">
        <v>0</v>
      </c>
      <c r="F10" t="s">
        <v>204</v>
      </c>
      <c r="G10">
        <v>0</v>
      </c>
      <c r="H10" t="s">
        <v>205</v>
      </c>
      <c r="I10">
        <v>12</v>
      </c>
      <c r="Q10" s="16" t="s">
        <v>225</v>
      </c>
      <c r="R10" s="18">
        <v>3</v>
      </c>
    </row>
    <row r="11" spans="2:21" x14ac:dyDescent="0.3">
      <c r="B11" t="s">
        <v>206</v>
      </c>
      <c r="C11">
        <v>4</v>
      </c>
      <c r="D11" t="s">
        <v>207</v>
      </c>
      <c r="E11">
        <v>18</v>
      </c>
      <c r="F11" t="s">
        <v>208</v>
      </c>
      <c r="G11">
        <v>1</v>
      </c>
    </row>
    <row r="12" spans="2:21" ht="15" thickBot="1" x14ac:dyDescent="0.35">
      <c r="B12" t="s">
        <v>195</v>
      </c>
      <c r="C12">
        <v>21</v>
      </c>
      <c r="D12" t="s">
        <v>209</v>
      </c>
      <c r="E12">
        <v>2</v>
      </c>
      <c r="F12" t="s">
        <v>205</v>
      </c>
      <c r="G12">
        <v>0</v>
      </c>
    </row>
    <row r="13" spans="2:21" ht="15" thickBot="1" x14ac:dyDescent="0.35">
      <c r="B13" t="s">
        <v>210</v>
      </c>
      <c r="C13">
        <v>20</v>
      </c>
      <c r="D13" t="s">
        <v>211</v>
      </c>
      <c r="E13">
        <v>17</v>
      </c>
      <c r="F13" t="s">
        <v>212</v>
      </c>
      <c r="G13">
        <v>8</v>
      </c>
      <c r="H13" t="s">
        <v>213</v>
      </c>
      <c r="I13">
        <v>3</v>
      </c>
      <c r="J13" t="s">
        <v>214</v>
      </c>
      <c r="K13">
        <v>1</v>
      </c>
      <c r="L13" t="s">
        <v>215</v>
      </c>
      <c r="M13">
        <v>0</v>
      </c>
      <c r="Q13" s="52" t="s">
        <v>218</v>
      </c>
      <c r="R13" s="53">
        <v>23</v>
      </c>
      <c r="T13" s="31" t="s">
        <v>228</v>
      </c>
      <c r="U13" s="32">
        <v>11</v>
      </c>
    </row>
    <row r="14" spans="2:21" x14ac:dyDescent="0.3">
      <c r="B14" t="s">
        <v>216</v>
      </c>
      <c r="C14">
        <v>23</v>
      </c>
      <c r="D14" t="s">
        <v>217</v>
      </c>
      <c r="E14">
        <v>4</v>
      </c>
      <c r="T14" s="14" t="s">
        <v>229</v>
      </c>
      <c r="U14" s="3">
        <v>0</v>
      </c>
    </row>
    <row r="15" spans="2:21" x14ac:dyDescent="0.3">
      <c r="T15" s="14" t="s">
        <v>230</v>
      </c>
      <c r="U15" s="3">
        <v>0</v>
      </c>
    </row>
    <row r="16" spans="2:21" ht="15" thickBot="1" x14ac:dyDescent="0.35">
      <c r="Q16" t="s">
        <v>231</v>
      </c>
      <c r="R16">
        <v>4</v>
      </c>
      <c r="T16" s="16" t="s">
        <v>219</v>
      </c>
      <c r="U16" s="18">
        <v>12</v>
      </c>
    </row>
    <row r="17" spans="17:21" x14ac:dyDescent="0.3">
      <c r="Q17" t="s">
        <v>232</v>
      </c>
      <c r="R17">
        <v>18</v>
      </c>
    </row>
    <row r="18" spans="17:21" x14ac:dyDescent="0.3">
      <c r="Q18" t="s">
        <v>233</v>
      </c>
      <c r="R18">
        <v>1</v>
      </c>
    </row>
    <row r="20" spans="17:21" x14ac:dyDescent="0.3">
      <c r="Q20" t="s">
        <v>218</v>
      </c>
      <c r="R20">
        <v>21</v>
      </c>
      <c r="T20" t="s">
        <v>235</v>
      </c>
      <c r="U20">
        <v>20</v>
      </c>
    </row>
    <row r="21" spans="17:21" x14ac:dyDescent="0.3">
      <c r="Q21" t="s">
        <v>234</v>
      </c>
      <c r="R21">
        <v>2</v>
      </c>
      <c r="T21" t="s">
        <v>236</v>
      </c>
      <c r="U21">
        <v>17</v>
      </c>
    </row>
    <row r="22" spans="17:21" x14ac:dyDescent="0.3">
      <c r="Q22" t="s">
        <v>219</v>
      </c>
      <c r="R22">
        <v>0</v>
      </c>
      <c r="T22" t="s">
        <v>237</v>
      </c>
      <c r="U22">
        <v>8</v>
      </c>
    </row>
    <row r="23" spans="17:21" x14ac:dyDescent="0.3">
      <c r="T23" t="s">
        <v>238</v>
      </c>
      <c r="U23">
        <v>3</v>
      </c>
    </row>
    <row r="24" spans="17:21" x14ac:dyDescent="0.3">
      <c r="T24" t="s">
        <v>239</v>
      </c>
      <c r="U24">
        <v>1</v>
      </c>
    </row>
    <row r="25" spans="17:21" x14ac:dyDescent="0.3">
      <c r="T25" t="s">
        <v>240</v>
      </c>
      <c r="U25">
        <v>0</v>
      </c>
    </row>
    <row r="26" spans="17:21" x14ac:dyDescent="0.3">
      <c r="Q26" t="s">
        <v>241</v>
      </c>
      <c r="R26">
        <v>23</v>
      </c>
    </row>
    <row r="27" spans="17:21" x14ac:dyDescent="0.3">
      <c r="Q27" t="s">
        <v>242</v>
      </c>
      <c r="R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FEATURES</vt:lpstr>
      <vt:lpstr>MONETIZATION</vt:lpstr>
      <vt:lpstr>COMPETITORS</vt:lpstr>
      <vt:lpstr>ROADMAP</vt:lpstr>
      <vt:lpstr>CUSTOMER PERSONA </vt:lpstr>
      <vt:lpstr>USER RESEARCH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S. Salimli</dc:creator>
  <cp:lastModifiedBy>Aziz S. Salimli</cp:lastModifiedBy>
  <dcterms:created xsi:type="dcterms:W3CDTF">2026-02-26T10:13:10Z</dcterms:created>
  <dcterms:modified xsi:type="dcterms:W3CDTF">2026-02-26T12:15:31Z</dcterms:modified>
</cp:coreProperties>
</file>