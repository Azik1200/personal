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imlias\Desktop\Work\Personal\"/>
    </mc:Choice>
  </mc:AlternateContent>
  <xr:revisionPtr revIDLastSave="0" documentId="13_ncr:1_{12174C9C-D911-4EBB-974E-F24D99370C3D}" xr6:coauthVersionLast="47" xr6:coauthVersionMax="47" xr10:uidLastSave="{00000000-0000-0000-0000-000000000000}"/>
  <bookViews>
    <workbookView xWindow="-108" yWindow="-108" windowWidth="23256" windowHeight="13176" activeTab="2" xr2:uid="{D18E24B4-D831-4D2C-A3F7-1212CF31CFC5}"/>
  </bookViews>
  <sheets>
    <sheet name="Зарплата" sheetId="1" r:id="rId1"/>
    <sheet name="Расходы" sheetId="5" r:id="rId2"/>
    <sheet name="Накопления" sheetId="2" r:id="rId3"/>
    <sheet name="Кредит" sheetId="3" r:id="rId4"/>
    <sheet name="Оплата телефона" sheetId="4" r:id="rId5"/>
    <sheet name="Путешествие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2" l="1"/>
  <c r="E4" i="2"/>
  <c r="D4" i="2"/>
  <c r="D5" i="2"/>
  <c r="E5" i="2" s="1"/>
  <c r="B6" i="2" s="1"/>
  <c r="D6" i="2" s="1"/>
  <c r="B4" i="2"/>
  <c r="E3" i="2"/>
  <c r="D3" i="2"/>
  <c r="B3" i="2"/>
  <c r="B9" i="5"/>
  <c r="B10" i="5"/>
  <c r="B11" i="5"/>
  <c r="B12" i="5"/>
  <c r="B13" i="5"/>
  <c r="B8" i="5"/>
  <c r="O12" i="5"/>
  <c r="B4" i="5"/>
  <c r="C4" i="5" s="1"/>
  <c r="B5" i="5"/>
  <c r="B6" i="5"/>
  <c r="C6" i="5" s="1"/>
  <c r="B7" i="5"/>
  <c r="C7" i="5" s="1"/>
  <c r="B3" i="5"/>
  <c r="C3" i="5" s="1"/>
  <c r="C5" i="5"/>
  <c r="B2" i="5"/>
  <c r="L11" i="5"/>
  <c r="C2" i="5"/>
  <c r="D4" i="4"/>
  <c r="D5" i="4"/>
  <c r="D6" i="4"/>
  <c r="D7" i="4"/>
  <c r="D8" i="4"/>
  <c r="D9" i="4"/>
  <c r="D10" i="4"/>
  <c r="D11" i="4"/>
  <c r="D12" i="4"/>
  <c r="D3" i="4"/>
  <c r="F2" i="4"/>
  <c r="E2" i="4"/>
  <c r="B3" i="4" s="1"/>
  <c r="E3" i="4" s="1"/>
  <c r="B4" i="4" s="1"/>
  <c r="D2" i="3"/>
  <c r="F2" i="3" s="1"/>
  <c r="B3" i="3" s="1"/>
  <c r="D3" i="3" s="1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19" i="3"/>
  <c r="D2" i="2"/>
  <c r="E2" i="2" s="1"/>
  <c r="E6" i="2" l="1"/>
  <c r="B7" i="2" s="1"/>
  <c r="C11" i="5"/>
  <c r="C13" i="5"/>
  <c r="C10" i="5"/>
  <c r="C12" i="5"/>
  <c r="C8" i="5"/>
  <c r="C9" i="5"/>
  <c r="F4" i="4"/>
  <c r="E4" i="4"/>
  <c r="B5" i="4" s="1"/>
  <c r="E5" i="4" s="1"/>
  <c r="B6" i="4" s="1"/>
  <c r="F3" i="4"/>
  <c r="F3" i="3"/>
  <c r="B4" i="3" s="1"/>
  <c r="D4" i="3" s="1"/>
  <c r="D7" i="2" l="1"/>
  <c r="E7" i="2" s="1"/>
  <c r="B8" i="2" s="1"/>
  <c r="F5" i="4"/>
  <c r="E6" i="4"/>
  <c r="B7" i="4" s="1"/>
  <c r="F6" i="4"/>
  <c r="F4" i="3"/>
  <c r="B5" i="3" s="1"/>
  <c r="D5" i="3" s="1"/>
  <c r="D8" i="2" l="1"/>
  <c r="E8" i="2" s="1"/>
  <c r="B9" i="2" s="1"/>
  <c r="E7" i="4"/>
  <c r="B8" i="4" s="1"/>
  <c r="F7" i="4"/>
  <c r="F5" i="3"/>
  <c r="B6" i="3" s="1"/>
  <c r="D6" i="3" s="1"/>
  <c r="D9" i="2" l="1"/>
  <c r="E9" i="2" s="1"/>
  <c r="B10" i="2" s="1"/>
  <c r="E8" i="4"/>
  <c r="B9" i="4" s="1"/>
  <c r="F8" i="4"/>
  <c r="F6" i="3"/>
  <c r="B7" i="3" s="1"/>
  <c r="D7" i="3" s="1"/>
  <c r="D10" i="2" l="1"/>
  <c r="E10" i="2" s="1"/>
  <c r="B11" i="2" s="1"/>
  <c r="E9" i="4"/>
  <c r="B10" i="4" s="1"/>
  <c r="F9" i="4"/>
  <c r="F7" i="3"/>
  <c r="B8" i="3" s="1"/>
  <c r="D8" i="3" s="1"/>
  <c r="D11" i="2" l="1"/>
  <c r="E11" i="2" s="1"/>
  <c r="B12" i="2" s="1"/>
  <c r="E10" i="4"/>
  <c r="B11" i="4" s="1"/>
  <c r="F10" i="4"/>
  <c r="F8" i="3"/>
  <c r="B9" i="3" s="1"/>
  <c r="D9" i="3" s="1"/>
  <c r="D12" i="2" l="1"/>
  <c r="E12" i="2" s="1"/>
  <c r="B13" i="2" s="1"/>
  <c r="F11" i="4"/>
  <c r="E11" i="4"/>
  <c r="B12" i="4" s="1"/>
  <c r="F9" i="3"/>
  <c r="B10" i="3" s="1"/>
  <c r="D10" i="3" s="1"/>
  <c r="D13" i="2" l="1"/>
  <c r="E13" i="2" s="1"/>
  <c r="B14" i="2" s="1"/>
  <c r="F12" i="4"/>
  <c r="E12" i="4"/>
  <c r="F10" i="3"/>
  <c r="B11" i="3" s="1"/>
  <c r="D11" i="3" s="1"/>
  <c r="D14" i="2" l="1"/>
  <c r="E14" i="2"/>
  <c r="B15" i="2" s="1"/>
  <c r="F11" i="3"/>
  <c r="B12" i="3" s="1"/>
  <c r="D12" i="3" s="1"/>
  <c r="D15" i="2" l="1"/>
  <c r="E15" i="2" s="1"/>
  <c r="B16" i="2" s="1"/>
  <c r="F12" i="3"/>
  <c r="B13" i="3" s="1"/>
  <c r="D13" i="3" s="1"/>
  <c r="D16" i="2" l="1"/>
  <c r="E16" i="2"/>
  <c r="B17" i="2" s="1"/>
  <c r="F13" i="3"/>
  <c r="B14" i="3" s="1"/>
  <c r="D14" i="3" s="1"/>
  <c r="D17" i="2" l="1"/>
  <c r="E17" i="2" s="1"/>
  <c r="B18" i="2" s="1"/>
  <c r="F14" i="3"/>
  <c r="B15" i="3" s="1"/>
  <c r="D15" i="3" s="1"/>
  <c r="D18" i="2" l="1"/>
  <c r="E18" i="2"/>
  <c r="B19" i="2" s="1"/>
  <c r="F15" i="3"/>
  <c r="B16" i="3" s="1"/>
  <c r="D16" i="3" s="1"/>
  <c r="D19" i="2" l="1"/>
  <c r="E19" i="2" s="1"/>
  <c r="B20" i="2" s="1"/>
  <c r="F16" i="3"/>
  <c r="B17" i="3" s="1"/>
  <c r="D17" i="3" s="1"/>
  <c r="D20" i="2" l="1"/>
  <c r="E20" i="2" s="1"/>
  <c r="B21" i="2" s="1"/>
  <c r="F17" i="3"/>
  <c r="B18" i="3" s="1"/>
  <c r="D18" i="3" s="1"/>
  <c r="D21" i="2" l="1"/>
  <c r="E21" i="2" s="1"/>
  <c r="B22" i="2" s="1"/>
  <c r="F18" i="3"/>
  <c r="B19" i="3" s="1"/>
  <c r="D19" i="3" s="1"/>
  <c r="D22" i="2" l="1"/>
  <c r="E22" i="2" s="1"/>
  <c r="B23" i="2" s="1"/>
  <c r="F19" i="3"/>
  <c r="B20" i="3" s="1"/>
  <c r="D20" i="3" s="1"/>
  <c r="D23" i="2" l="1"/>
  <c r="E23" i="2" s="1"/>
  <c r="B24" i="2" s="1"/>
  <c r="F20" i="3"/>
  <c r="B21" i="3" s="1"/>
  <c r="D21" i="3" s="1"/>
  <c r="D24" i="2" l="1"/>
  <c r="E24" i="2"/>
  <c r="B25" i="2" s="1"/>
  <c r="F21" i="3"/>
  <c r="B22" i="3" s="1"/>
  <c r="D22" i="3" s="1"/>
  <c r="D25" i="2" l="1"/>
  <c r="E25" i="2" s="1"/>
  <c r="B26" i="2" s="1"/>
  <c r="F22" i="3"/>
  <c r="B23" i="3" s="1"/>
  <c r="D23" i="3" s="1"/>
  <c r="D26" i="2" l="1"/>
  <c r="E26" i="2" s="1"/>
  <c r="B27" i="2" s="1"/>
  <c r="F23" i="3"/>
  <c r="B24" i="3" s="1"/>
  <c r="D24" i="3" s="1"/>
  <c r="D27" i="2" l="1"/>
  <c r="E27" i="2" s="1"/>
  <c r="B28" i="2" s="1"/>
  <c r="F24" i="3"/>
  <c r="B25" i="3" s="1"/>
  <c r="D25" i="3" s="1"/>
  <c r="D28" i="2" l="1"/>
  <c r="E28" i="2" s="1"/>
  <c r="B29" i="2" s="1"/>
  <c r="F25" i="3"/>
  <c r="B26" i="3" s="1"/>
  <c r="D26" i="3" s="1"/>
  <c r="D29" i="2" l="1"/>
  <c r="E29" i="2" s="1"/>
  <c r="B30" i="2" s="1"/>
  <c r="F26" i="3"/>
  <c r="B27" i="3" s="1"/>
  <c r="D27" i="3" s="1"/>
  <c r="D30" i="2" l="1"/>
  <c r="E30" i="2" s="1"/>
  <c r="B31" i="2" s="1"/>
  <c r="F27" i="3"/>
  <c r="B28" i="3" s="1"/>
  <c r="D28" i="3" s="1"/>
  <c r="D31" i="2" l="1"/>
  <c r="E31" i="2" s="1"/>
  <c r="B32" i="2" s="1"/>
  <c r="F28" i="3"/>
  <c r="B29" i="3" s="1"/>
  <c r="D29" i="3" s="1"/>
  <c r="D32" i="2" l="1"/>
  <c r="E32" i="2" s="1"/>
  <c r="B33" i="2" s="1"/>
  <c r="F29" i="3"/>
  <c r="B30" i="3" s="1"/>
  <c r="D30" i="3" s="1"/>
  <c r="D33" i="2" l="1"/>
  <c r="E33" i="2"/>
  <c r="B34" i="2" s="1"/>
  <c r="F30" i="3"/>
  <c r="B31" i="3" s="1"/>
  <c r="D31" i="3" s="1"/>
  <c r="D34" i="2" l="1"/>
  <c r="E34" i="2"/>
  <c r="B35" i="2" s="1"/>
  <c r="F31" i="3"/>
  <c r="B32" i="3" s="1"/>
  <c r="D32" i="3" s="1"/>
  <c r="D35" i="2" l="1"/>
  <c r="E35" i="2"/>
  <c r="B36" i="2" s="1"/>
  <c r="F32" i="3"/>
  <c r="B33" i="3" s="1"/>
  <c r="D33" i="3" s="1"/>
  <c r="D36" i="2" l="1"/>
  <c r="E36" i="2"/>
  <c r="B37" i="2" s="1"/>
  <c r="F33" i="3"/>
  <c r="B34" i="3" s="1"/>
  <c r="D34" i="3" s="1"/>
  <c r="D37" i="2" l="1"/>
  <c r="E37" i="2"/>
  <c r="B38" i="2" s="1"/>
  <c r="F34" i="3"/>
  <c r="B35" i="3" s="1"/>
  <c r="D35" i="3" s="1"/>
  <c r="D38" i="2" l="1"/>
  <c r="E38" i="2"/>
  <c r="B39" i="2" s="1"/>
  <c r="F35" i="3"/>
  <c r="B36" i="3" s="1"/>
  <c r="D36" i="3" s="1"/>
  <c r="D39" i="2" l="1"/>
  <c r="E39" i="2" s="1"/>
  <c r="B40" i="2" s="1"/>
  <c r="F36" i="3"/>
  <c r="B37" i="3" s="1"/>
  <c r="D37" i="3" s="1"/>
  <c r="D40" i="2" l="1"/>
  <c r="E40" i="2" s="1"/>
  <c r="B41" i="2" s="1"/>
  <c r="F37" i="3"/>
  <c r="B38" i="3" s="1"/>
  <c r="D38" i="3" s="1"/>
  <c r="D41" i="2" l="1"/>
  <c r="E41" i="2" s="1"/>
  <c r="B42" i="2" s="1"/>
  <c r="F38" i="3"/>
  <c r="B39" i="3" s="1"/>
  <c r="D39" i="3" s="1"/>
  <c r="D42" i="2" l="1"/>
  <c r="E42" i="2" s="1"/>
  <c r="B43" i="2" s="1"/>
  <c r="F39" i="3"/>
  <c r="B40" i="3" s="1"/>
  <c r="D40" i="3" s="1"/>
  <c r="D43" i="2" l="1"/>
  <c r="E43" i="2"/>
  <c r="B44" i="2" s="1"/>
  <c r="F40" i="3"/>
  <c r="B41" i="3" s="1"/>
  <c r="D41" i="3" s="1"/>
  <c r="D44" i="2" l="1"/>
  <c r="E44" i="2" s="1"/>
  <c r="B45" i="2" s="1"/>
  <c r="F41" i="3"/>
  <c r="B42" i="3" s="1"/>
  <c r="D42" i="3" s="1"/>
  <c r="D45" i="2" l="1"/>
  <c r="E45" i="2" s="1"/>
  <c r="B46" i="2" s="1"/>
  <c r="F42" i="3"/>
  <c r="B43" i="3" s="1"/>
  <c r="D43" i="3" s="1"/>
  <c r="D46" i="2" l="1"/>
  <c r="E46" i="2" s="1"/>
  <c r="B47" i="2" s="1"/>
  <c r="F43" i="3"/>
  <c r="B44" i="3" s="1"/>
  <c r="D44" i="3" s="1"/>
  <c r="D47" i="2" l="1"/>
  <c r="E47" i="2" s="1"/>
  <c r="B48" i="2" s="1"/>
  <c r="F44" i="3"/>
  <c r="B45" i="3" s="1"/>
  <c r="D45" i="3" s="1"/>
  <c r="D48" i="2" l="1"/>
  <c r="E48" i="2" s="1"/>
  <c r="B49" i="2" s="1"/>
  <c r="F45" i="3"/>
  <c r="B46" i="3" s="1"/>
  <c r="D46" i="3" s="1"/>
  <c r="D49" i="2" l="1"/>
  <c r="E49" i="2" s="1"/>
  <c r="B50" i="2" s="1"/>
  <c r="F46" i="3"/>
  <c r="B47" i="3" s="1"/>
  <c r="D47" i="3" s="1"/>
  <c r="D50" i="2" l="1"/>
  <c r="E50" i="2" s="1"/>
  <c r="B51" i="2" s="1"/>
  <c r="F47" i="3"/>
  <c r="B48" i="3" s="1"/>
  <c r="D48" i="3" s="1"/>
  <c r="D51" i="2" l="1"/>
  <c r="E51" i="2"/>
  <c r="B52" i="2" s="1"/>
  <c r="F48" i="3"/>
  <c r="B49" i="3" s="1"/>
  <c r="D49" i="3" s="1"/>
  <c r="D52" i="2" l="1"/>
  <c r="E52" i="2"/>
  <c r="B53" i="2" s="1"/>
  <c r="F49" i="3"/>
  <c r="B50" i="3" s="1"/>
  <c r="D50" i="3" s="1"/>
  <c r="D53" i="2" l="1"/>
  <c r="E53" i="2"/>
  <c r="B54" i="2" s="1"/>
  <c r="F50" i="3"/>
  <c r="B51" i="3" s="1"/>
  <c r="D51" i="3" s="1"/>
  <c r="D54" i="2" l="1"/>
  <c r="E54" i="2"/>
  <c r="B55" i="2" s="1"/>
  <c r="F51" i="3"/>
  <c r="B52" i="3" s="1"/>
  <c r="D52" i="3" s="1"/>
  <c r="D55" i="2" l="1"/>
  <c r="E55" i="2"/>
  <c r="B56" i="2" s="1"/>
  <c r="F52" i="3"/>
  <c r="B53" i="3" s="1"/>
  <c r="D53" i="3" s="1"/>
  <c r="D56" i="2" l="1"/>
  <c r="E56" i="2"/>
  <c r="B57" i="2" s="1"/>
  <c r="F53" i="3"/>
  <c r="B54" i="3" s="1"/>
  <c r="D54" i="3" s="1"/>
  <c r="D57" i="2" l="1"/>
  <c r="E57" i="2"/>
  <c r="B58" i="2" s="1"/>
  <c r="F54" i="3"/>
  <c r="B55" i="3" s="1"/>
  <c r="D55" i="3" s="1"/>
  <c r="D58" i="2" l="1"/>
  <c r="E58" i="2"/>
  <c r="B59" i="2" s="1"/>
  <c r="F55" i="3"/>
  <c r="B56" i="3" s="1"/>
  <c r="D56" i="3" s="1"/>
  <c r="D59" i="2" l="1"/>
  <c r="E59" i="2" s="1"/>
  <c r="B60" i="2" s="1"/>
  <c r="F56" i="3"/>
  <c r="B57" i="3" s="1"/>
  <c r="D57" i="3" s="1"/>
  <c r="D60" i="2" l="1"/>
  <c r="E60" i="2" s="1"/>
  <c r="B61" i="2" s="1"/>
  <c r="F57" i="3"/>
  <c r="B58" i="3" s="1"/>
  <c r="D58" i="3" s="1"/>
  <c r="D61" i="2" l="1"/>
  <c r="E61" i="2" s="1"/>
  <c r="B62" i="2" s="1"/>
  <c r="F58" i="3"/>
  <c r="B59" i="3" s="1"/>
  <c r="D59" i="3" s="1"/>
  <c r="D62" i="2" l="1"/>
  <c r="E62" i="2" s="1"/>
  <c r="B63" i="2" s="1"/>
  <c r="F59" i="3"/>
  <c r="B60" i="3" s="1"/>
  <c r="D60" i="3" s="1"/>
  <c r="D63" i="2" l="1"/>
  <c r="E63" i="2" s="1"/>
  <c r="B64" i="2" s="1"/>
  <c r="F60" i="3"/>
  <c r="B61" i="3" s="1"/>
  <c r="D61" i="3" s="1"/>
  <c r="D64" i="2" l="1"/>
  <c r="E64" i="2" s="1"/>
  <c r="B65" i="2" s="1"/>
  <c r="F61" i="3"/>
  <c r="B62" i="3" s="1"/>
  <c r="D62" i="3" s="1"/>
  <c r="D65" i="2" l="1"/>
  <c r="E65" i="2" s="1"/>
  <c r="B66" i="2" s="1"/>
  <c r="F62" i="3"/>
  <c r="B63" i="3" s="1"/>
  <c r="D63" i="3" s="1"/>
  <c r="D66" i="2" l="1"/>
  <c r="E66" i="2" s="1"/>
  <c r="B67" i="2" s="1"/>
  <c r="F63" i="3"/>
  <c r="B64" i="3" s="1"/>
  <c r="D64" i="3" s="1"/>
  <c r="D67" i="2" l="1"/>
  <c r="E67" i="2" s="1"/>
  <c r="B68" i="2" s="1"/>
  <c r="F64" i="3"/>
  <c r="B65" i="3" s="1"/>
  <c r="D65" i="3" s="1"/>
  <c r="D68" i="2" l="1"/>
  <c r="E68" i="2" s="1"/>
  <c r="B69" i="2" s="1"/>
  <c r="F65" i="3"/>
  <c r="B66" i="3" s="1"/>
  <c r="D66" i="3" s="1"/>
  <c r="D69" i="2" l="1"/>
  <c r="E69" i="2" s="1"/>
  <c r="B70" i="2" s="1"/>
  <c r="F66" i="3"/>
  <c r="B67" i="3" s="1"/>
  <c r="D67" i="3" s="1"/>
  <c r="D70" i="2" l="1"/>
  <c r="E70" i="2" s="1"/>
  <c r="B71" i="2" s="1"/>
  <c r="F67" i="3"/>
  <c r="B68" i="3" s="1"/>
  <c r="D68" i="3" s="1"/>
  <c r="D71" i="2" l="1"/>
  <c r="E71" i="2" s="1"/>
  <c r="B72" i="2" s="1"/>
  <c r="F68" i="3"/>
  <c r="B69" i="3" s="1"/>
  <c r="D69" i="3" s="1"/>
  <c r="D72" i="2" l="1"/>
  <c r="E72" i="2"/>
  <c r="B73" i="2" s="1"/>
  <c r="F69" i="3"/>
  <c r="B70" i="3" s="1"/>
  <c r="D70" i="3" s="1"/>
  <c r="D73" i="2" l="1"/>
  <c r="E73" i="2"/>
  <c r="B74" i="2" s="1"/>
  <c r="F70" i="3"/>
  <c r="B71" i="3" s="1"/>
  <c r="D71" i="3" s="1"/>
  <c r="D74" i="2" l="1"/>
  <c r="E74" i="2"/>
  <c r="B75" i="2" s="1"/>
  <c r="F71" i="3"/>
  <c r="B72" i="3" s="1"/>
  <c r="D72" i="3" s="1"/>
  <c r="D75" i="2" l="1"/>
  <c r="E75" i="2"/>
  <c r="B76" i="2" s="1"/>
  <c r="F72" i="3"/>
  <c r="B73" i="3" s="1"/>
  <c r="D73" i="3" s="1"/>
  <c r="D76" i="2" l="1"/>
  <c r="E76" i="2"/>
  <c r="B77" i="2" s="1"/>
  <c r="F73" i="3"/>
  <c r="B74" i="3" s="1"/>
  <c r="D74" i="3" s="1"/>
  <c r="D77" i="2" l="1"/>
  <c r="E77" i="2"/>
  <c r="B78" i="2" s="1"/>
  <c r="F74" i="3"/>
  <c r="B75" i="3" s="1"/>
  <c r="D75" i="3" s="1"/>
  <c r="D78" i="2" l="1"/>
  <c r="E78" i="2"/>
  <c r="B79" i="2" s="1"/>
  <c r="F75" i="3"/>
  <c r="B76" i="3" s="1"/>
  <c r="D76" i="3" s="1"/>
  <c r="D79" i="2" l="1"/>
  <c r="E79" i="2" s="1"/>
  <c r="B80" i="2" s="1"/>
  <c r="F76" i="3"/>
  <c r="B77" i="3" s="1"/>
  <c r="D77" i="3" s="1"/>
  <c r="D80" i="2" l="1"/>
  <c r="E80" i="2" s="1"/>
  <c r="B81" i="2" s="1"/>
  <c r="F77" i="3"/>
  <c r="B78" i="3" s="1"/>
  <c r="D78" i="3" s="1"/>
  <c r="D81" i="2" l="1"/>
  <c r="E81" i="2" s="1"/>
  <c r="B82" i="2" s="1"/>
  <c r="F78" i="3"/>
  <c r="B79" i="3" s="1"/>
  <c r="D79" i="3" s="1"/>
  <c r="D82" i="2" l="1"/>
  <c r="E82" i="2" s="1"/>
  <c r="B83" i="2" s="1"/>
  <c r="F79" i="3"/>
  <c r="B80" i="3" s="1"/>
  <c r="D80" i="3" s="1"/>
  <c r="D83" i="2" l="1"/>
  <c r="E83" i="2"/>
  <c r="B84" i="2" s="1"/>
  <c r="F80" i="3"/>
  <c r="B81" i="3" s="1"/>
  <c r="D81" i="3" s="1"/>
  <c r="D84" i="2" l="1"/>
  <c r="E84" i="2"/>
  <c r="B85" i="2" s="1"/>
  <c r="F81" i="3"/>
  <c r="B82" i="3" s="1"/>
  <c r="D82" i="3" s="1"/>
  <c r="D85" i="2" l="1"/>
  <c r="E85" i="2" s="1"/>
  <c r="B86" i="2" s="1"/>
  <c r="F82" i="3"/>
  <c r="B83" i="3" s="1"/>
  <c r="D83" i="3" s="1"/>
  <c r="D86" i="2" l="1"/>
  <c r="E86" i="2" s="1"/>
  <c r="B87" i="2" s="1"/>
  <c r="F83" i="3"/>
  <c r="B84" i="3" s="1"/>
  <c r="D84" i="3" s="1"/>
  <c r="D87" i="2" l="1"/>
  <c r="E87" i="2" s="1"/>
  <c r="B88" i="2" s="1"/>
  <c r="F84" i="3"/>
  <c r="B85" i="3" s="1"/>
  <c r="D85" i="3" s="1"/>
  <c r="D88" i="2" l="1"/>
  <c r="E88" i="2" s="1"/>
  <c r="B89" i="2" s="1"/>
  <c r="F85" i="3"/>
  <c r="B86" i="3" s="1"/>
  <c r="D86" i="3" s="1"/>
  <c r="D89" i="2" l="1"/>
  <c r="E89" i="2" s="1"/>
  <c r="B90" i="2" s="1"/>
  <c r="F86" i="3"/>
  <c r="B87" i="3" s="1"/>
  <c r="D87" i="3" s="1"/>
  <c r="D90" i="2" l="1"/>
  <c r="E90" i="2" s="1"/>
  <c r="B91" i="2" s="1"/>
  <c r="F87" i="3"/>
  <c r="B88" i="3" s="1"/>
  <c r="D88" i="3" s="1"/>
  <c r="D91" i="2" l="1"/>
  <c r="E91" i="2"/>
  <c r="B92" i="2" s="1"/>
  <c r="F88" i="3"/>
  <c r="B89" i="3" s="1"/>
  <c r="D89" i="3" s="1"/>
  <c r="D92" i="2" l="1"/>
  <c r="E92" i="2"/>
  <c r="B93" i="2" s="1"/>
  <c r="F89" i="3"/>
  <c r="B90" i="3" s="1"/>
  <c r="D90" i="3" s="1"/>
  <c r="D93" i="2" l="1"/>
  <c r="E93" i="2" s="1"/>
  <c r="B94" i="2" s="1"/>
  <c r="F90" i="3"/>
  <c r="B91" i="3" s="1"/>
  <c r="D91" i="3" s="1"/>
  <c r="D94" i="2" l="1"/>
  <c r="E94" i="2"/>
  <c r="B95" i="2" s="1"/>
  <c r="F91" i="3"/>
  <c r="B92" i="3" s="1"/>
  <c r="D92" i="3" s="1"/>
  <c r="D95" i="2" l="1"/>
  <c r="E95" i="2"/>
  <c r="B96" i="2" s="1"/>
  <c r="F92" i="3"/>
  <c r="B93" i="3" s="1"/>
  <c r="D93" i="3" s="1"/>
  <c r="D96" i="2" l="1"/>
  <c r="E96" i="2"/>
  <c r="B97" i="2" s="1"/>
  <c r="F93" i="3"/>
  <c r="B94" i="3" s="1"/>
  <c r="D94" i="3" s="1"/>
  <c r="D97" i="2" l="1"/>
  <c r="E97" i="2"/>
  <c r="B98" i="2" s="1"/>
  <c r="F94" i="3"/>
  <c r="B95" i="3" s="1"/>
  <c r="D95" i="3" s="1"/>
  <c r="D98" i="2" l="1"/>
  <c r="E98" i="2"/>
  <c r="B99" i="2" s="1"/>
  <c r="F95" i="3"/>
  <c r="B96" i="3" s="1"/>
  <c r="D96" i="3" s="1"/>
  <c r="D99" i="2" l="1"/>
  <c r="E99" i="2" s="1"/>
  <c r="B100" i="2" s="1"/>
  <c r="F96" i="3"/>
  <c r="B97" i="3" s="1"/>
  <c r="D97" i="3" s="1"/>
  <c r="D100" i="2" l="1"/>
  <c r="E100" i="2" s="1"/>
  <c r="B101" i="2" s="1"/>
  <c r="F97" i="3"/>
  <c r="B98" i="3" s="1"/>
  <c r="D98" i="3" s="1"/>
  <c r="D101" i="2" l="1"/>
  <c r="E101" i="2" s="1"/>
  <c r="B102" i="2" s="1"/>
  <c r="F98" i="3"/>
  <c r="B99" i="3" s="1"/>
  <c r="D99" i="3" s="1"/>
  <c r="D102" i="2" l="1"/>
  <c r="E102" i="2"/>
  <c r="B103" i="2" s="1"/>
  <c r="F99" i="3"/>
  <c r="B100" i="3" s="1"/>
  <c r="D100" i="3" s="1"/>
  <c r="D103" i="2" l="1"/>
  <c r="E103" i="2" s="1"/>
  <c r="B104" i="2" s="1"/>
  <c r="F100" i="3"/>
  <c r="B101" i="3" s="1"/>
  <c r="D101" i="3" s="1"/>
  <c r="D104" i="2" l="1"/>
  <c r="E104" i="2"/>
  <c r="B105" i="2" s="1"/>
  <c r="F101" i="3"/>
  <c r="B102" i="3" s="1"/>
  <c r="D102" i="3" s="1"/>
  <c r="D105" i="2" l="1"/>
  <c r="E105" i="2" s="1"/>
  <c r="B106" i="2" s="1"/>
  <c r="F102" i="3"/>
  <c r="B103" i="3" s="1"/>
  <c r="D103" i="3" s="1"/>
  <c r="D106" i="2" l="1"/>
  <c r="E106" i="2" s="1"/>
  <c r="B107" i="2" s="1"/>
  <c r="F103" i="3"/>
  <c r="B104" i="3" s="1"/>
  <c r="D104" i="3" s="1"/>
  <c r="D107" i="2" l="1"/>
  <c r="E107" i="2" s="1"/>
  <c r="B108" i="2" s="1"/>
  <c r="F104" i="3"/>
  <c r="B105" i="3" s="1"/>
  <c r="D105" i="3" s="1"/>
  <c r="D108" i="2" l="1"/>
  <c r="E108" i="2" s="1"/>
  <c r="B109" i="2" s="1"/>
  <c r="F105" i="3"/>
  <c r="B106" i="3" s="1"/>
  <c r="D106" i="3" s="1"/>
  <c r="D109" i="2" l="1"/>
  <c r="E109" i="2" s="1"/>
  <c r="B110" i="2" s="1"/>
  <c r="F106" i="3"/>
  <c r="B107" i="3" s="1"/>
  <c r="D107" i="3" s="1"/>
  <c r="D110" i="2" l="1"/>
  <c r="E110" i="2" s="1"/>
  <c r="B111" i="2" s="1"/>
  <c r="F107" i="3"/>
  <c r="B108" i="3" s="1"/>
  <c r="D108" i="3" s="1"/>
  <c r="D111" i="2" l="1"/>
  <c r="E111" i="2" s="1"/>
  <c r="B112" i="2" s="1"/>
  <c r="F108" i="3"/>
  <c r="B109" i="3" s="1"/>
  <c r="D109" i="3" s="1"/>
  <c r="D112" i="2" l="1"/>
  <c r="E112" i="2" s="1"/>
  <c r="B113" i="2" s="1"/>
  <c r="F109" i="3"/>
  <c r="B110" i="3" s="1"/>
  <c r="D110" i="3" s="1"/>
  <c r="D113" i="2" l="1"/>
  <c r="E113" i="2"/>
  <c r="B114" i="2" s="1"/>
  <c r="F110" i="3"/>
  <c r="B111" i="3" s="1"/>
  <c r="D111" i="3" s="1"/>
  <c r="D114" i="2" l="1"/>
  <c r="E114" i="2"/>
  <c r="B115" i="2" s="1"/>
  <c r="F111" i="3"/>
  <c r="B112" i="3" s="1"/>
  <c r="D112" i="3" s="1"/>
  <c r="D115" i="2" l="1"/>
  <c r="E115" i="2"/>
  <c r="B116" i="2" s="1"/>
  <c r="F112" i="3"/>
  <c r="B113" i="3" s="1"/>
  <c r="D113" i="3" s="1"/>
  <c r="D116" i="2" l="1"/>
  <c r="E116" i="2"/>
  <c r="B117" i="2" s="1"/>
  <c r="F113" i="3"/>
  <c r="B114" i="3" s="1"/>
  <c r="D114" i="3" s="1"/>
  <c r="D117" i="2" l="1"/>
  <c r="E117" i="2"/>
  <c r="B118" i="2" s="1"/>
  <c r="F114" i="3"/>
  <c r="B115" i="3" s="1"/>
  <c r="D115" i="3" s="1"/>
  <c r="D118" i="2" l="1"/>
  <c r="E118" i="2"/>
  <c r="B119" i="2" s="1"/>
  <c r="F115" i="3"/>
  <c r="B116" i="3" s="1"/>
  <c r="D116" i="3" s="1"/>
  <c r="D119" i="2" l="1"/>
  <c r="E119" i="2" s="1"/>
  <c r="B120" i="2" s="1"/>
  <c r="F116" i="3"/>
  <c r="B117" i="3" s="1"/>
  <c r="D117" i="3" s="1"/>
  <c r="D120" i="2" l="1"/>
  <c r="E120" i="2" s="1"/>
  <c r="B121" i="2" s="1"/>
  <c r="F117" i="3"/>
  <c r="B118" i="3" s="1"/>
  <c r="D118" i="3" s="1"/>
  <c r="D121" i="2" l="1"/>
  <c r="E121" i="2"/>
  <c r="B122" i="2" s="1"/>
  <c r="F118" i="3"/>
  <c r="B119" i="3" s="1"/>
  <c r="D119" i="3" s="1"/>
  <c r="D122" i="2" l="1"/>
  <c r="E122" i="2" s="1"/>
  <c r="B123" i="2" s="1"/>
  <c r="F119" i="3"/>
  <c r="B120" i="3" s="1"/>
  <c r="D120" i="3" s="1"/>
  <c r="D123" i="2" l="1"/>
  <c r="E123" i="2"/>
  <c r="B124" i="2" s="1"/>
  <c r="F120" i="3"/>
  <c r="B121" i="3" s="1"/>
  <c r="D121" i="3" s="1"/>
  <c r="D124" i="2" l="1"/>
  <c r="E124" i="2" s="1"/>
  <c r="B125" i="2" s="1"/>
  <c r="F121" i="3"/>
  <c r="B122" i="3" s="1"/>
  <c r="D122" i="3" s="1"/>
  <c r="D125" i="2" l="1"/>
  <c r="E125" i="2" s="1"/>
  <c r="B126" i="2" s="1"/>
  <c r="F122" i="3"/>
  <c r="B123" i="3" s="1"/>
  <c r="D123" i="3" s="1"/>
  <c r="D126" i="2" l="1"/>
  <c r="E126" i="2" s="1"/>
  <c r="B127" i="2" s="1"/>
  <c r="F123" i="3"/>
  <c r="B124" i="3" s="1"/>
  <c r="D124" i="3" s="1"/>
  <c r="D127" i="2" l="1"/>
  <c r="E127" i="2" s="1"/>
  <c r="B128" i="2" s="1"/>
  <c r="F124" i="3"/>
  <c r="B125" i="3" s="1"/>
  <c r="D125" i="3" s="1"/>
  <c r="D128" i="2" l="1"/>
  <c r="E128" i="2" s="1"/>
  <c r="B129" i="2" s="1"/>
  <c r="F125" i="3"/>
  <c r="B126" i="3" s="1"/>
  <c r="D126" i="3" s="1"/>
  <c r="D129" i="2" l="1"/>
  <c r="E129" i="2" s="1"/>
  <c r="B130" i="2" s="1"/>
  <c r="F126" i="3"/>
  <c r="B127" i="3" s="1"/>
  <c r="D127" i="3" s="1"/>
  <c r="D130" i="2" l="1"/>
  <c r="E130" i="2" s="1"/>
  <c r="B131" i="2" s="1"/>
  <c r="F127" i="3"/>
  <c r="B128" i="3" s="1"/>
  <c r="D128" i="3" s="1"/>
  <c r="D131" i="2" l="1"/>
  <c r="E131" i="2" s="1"/>
  <c r="B132" i="2" s="1"/>
  <c r="F128" i="3"/>
  <c r="B129" i="3" s="1"/>
  <c r="D129" i="3" s="1"/>
  <c r="D132" i="2" l="1"/>
  <c r="E132" i="2"/>
  <c r="B133" i="2" s="1"/>
  <c r="F129" i="3"/>
  <c r="B130" i="3" s="1"/>
  <c r="D130" i="3" s="1"/>
  <c r="D133" i="2" l="1"/>
  <c r="E133" i="2"/>
  <c r="B134" i="2" s="1"/>
  <c r="F130" i="3"/>
  <c r="B131" i="3" s="1"/>
  <c r="D131" i="3" s="1"/>
  <c r="D134" i="2" l="1"/>
  <c r="E134" i="2"/>
  <c r="B135" i="2" s="1"/>
  <c r="F131" i="3"/>
  <c r="B132" i="3" s="1"/>
  <c r="D132" i="3" s="1"/>
  <c r="D135" i="2" l="1"/>
  <c r="E135" i="2"/>
  <c r="B136" i="2" s="1"/>
  <c r="F132" i="3"/>
  <c r="B133" i="3" s="1"/>
  <c r="D133" i="3" s="1"/>
  <c r="D136" i="2" l="1"/>
  <c r="E136" i="2"/>
  <c r="B137" i="2" s="1"/>
  <c r="F133" i="3"/>
  <c r="B134" i="3" s="1"/>
  <c r="D134" i="3" s="1"/>
  <c r="D137" i="2" l="1"/>
  <c r="E137" i="2"/>
  <c r="B138" i="2" s="1"/>
  <c r="F134" i="3"/>
  <c r="B135" i="3" s="1"/>
  <c r="D135" i="3" s="1"/>
  <c r="D138" i="2" l="1"/>
  <c r="E138" i="2"/>
  <c r="B139" i="2" s="1"/>
  <c r="F135" i="3"/>
  <c r="B136" i="3" s="1"/>
  <c r="D136" i="3" s="1"/>
  <c r="D139" i="2" l="1"/>
  <c r="E139" i="2" s="1"/>
  <c r="B140" i="2" s="1"/>
  <c r="F136" i="3"/>
  <c r="B137" i="3" s="1"/>
  <c r="D137" i="3" s="1"/>
  <c r="D140" i="2" l="1"/>
  <c r="E140" i="2" s="1"/>
  <c r="B141" i="2" s="1"/>
  <c r="F137" i="3"/>
  <c r="B138" i="3" s="1"/>
  <c r="D138" i="3" s="1"/>
  <c r="D141" i="2" l="1"/>
  <c r="E141" i="2"/>
  <c r="B142" i="2" s="1"/>
  <c r="F138" i="3"/>
  <c r="B139" i="3" s="1"/>
  <c r="D139" i="3" s="1"/>
  <c r="D142" i="2" l="1"/>
  <c r="E142" i="2" s="1"/>
  <c r="B143" i="2" s="1"/>
  <c r="F139" i="3"/>
  <c r="B140" i="3" s="1"/>
  <c r="D140" i="3" s="1"/>
  <c r="D143" i="2" l="1"/>
  <c r="E143" i="2" s="1"/>
  <c r="B144" i="2" s="1"/>
  <c r="F140" i="3"/>
  <c r="B141" i="3" s="1"/>
  <c r="D141" i="3" s="1"/>
  <c r="D144" i="2" l="1"/>
  <c r="E144" i="2"/>
  <c r="B145" i="2" s="1"/>
  <c r="F141" i="3"/>
  <c r="B142" i="3" s="1"/>
  <c r="D142" i="3" s="1"/>
  <c r="D145" i="2" l="1"/>
  <c r="E145" i="2" s="1"/>
  <c r="B146" i="2" s="1"/>
  <c r="F142" i="3"/>
  <c r="B143" i="3" s="1"/>
  <c r="D143" i="3" s="1"/>
  <c r="D146" i="2" l="1"/>
  <c r="E146" i="2" s="1"/>
  <c r="B147" i="2" s="1"/>
  <c r="F143" i="3"/>
  <c r="B144" i="3" s="1"/>
  <c r="D144" i="3" s="1"/>
  <c r="D147" i="2" l="1"/>
  <c r="E147" i="2" s="1"/>
  <c r="B148" i="2" s="1"/>
  <c r="F144" i="3"/>
  <c r="B145" i="3" s="1"/>
  <c r="D145" i="3" s="1"/>
  <c r="D148" i="2" l="1"/>
  <c r="E148" i="2" s="1"/>
  <c r="B149" i="2" s="1"/>
  <c r="F145" i="3"/>
  <c r="B146" i="3" s="1"/>
  <c r="D146" i="3" s="1"/>
  <c r="D149" i="2" l="1"/>
  <c r="E149" i="2" s="1"/>
  <c r="B150" i="2" s="1"/>
  <c r="F146" i="3"/>
  <c r="B147" i="3" s="1"/>
  <c r="D147" i="3" s="1"/>
  <c r="D150" i="2" l="1"/>
  <c r="E150" i="2" s="1"/>
  <c r="B151" i="2" s="1"/>
  <c r="F147" i="3"/>
  <c r="B148" i="3" s="1"/>
  <c r="D148" i="3" s="1"/>
  <c r="D151" i="2" l="1"/>
  <c r="E151" i="2" s="1"/>
  <c r="B152" i="2" s="1"/>
  <c r="F148" i="3"/>
  <c r="B149" i="3" s="1"/>
  <c r="D149" i="3" s="1"/>
  <c r="D152" i="2" l="1"/>
  <c r="E152" i="2"/>
  <c r="B153" i="2" s="1"/>
  <c r="F149" i="3"/>
  <c r="B150" i="3" s="1"/>
  <c r="D150" i="3" s="1"/>
  <c r="D153" i="2" l="1"/>
  <c r="E153" i="2"/>
  <c r="B154" i="2" s="1"/>
  <c r="F150" i="3"/>
  <c r="B151" i="3" s="1"/>
  <c r="D151" i="3" s="1"/>
  <c r="D154" i="2" l="1"/>
  <c r="E154" i="2"/>
  <c r="B155" i="2" s="1"/>
  <c r="F151" i="3"/>
  <c r="B152" i="3" s="1"/>
  <c r="D152" i="3" s="1"/>
  <c r="D155" i="2" l="1"/>
  <c r="E155" i="2"/>
  <c r="B156" i="2" s="1"/>
  <c r="F152" i="3"/>
  <c r="B153" i="3" s="1"/>
  <c r="D153" i="3" s="1"/>
  <c r="D156" i="2" l="1"/>
  <c r="E156" i="2"/>
  <c r="B157" i="2" s="1"/>
  <c r="F153" i="3"/>
  <c r="B154" i="3" s="1"/>
  <c r="D154" i="3" s="1"/>
  <c r="D157" i="2" l="1"/>
  <c r="E157" i="2"/>
  <c r="B158" i="2" s="1"/>
  <c r="F154" i="3"/>
  <c r="B155" i="3" s="1"/>
  <c r="D155" i="3" s="1"/>
  <c r="D158" i="2" l="1"/>
  <c r="E158" i="2"/>
  <c r="B159" i="2" s="1"/>
  <c r="F155" i="3"/>
  <c r="B156" i="3" s="1"/>
  <c r="D156" i="3" s="1"/>
  <c r="D159" i="2" l="1"/>
  <c r="E159" i="2" s="1"/>
  <c r="B160" i="2" s="1"/>
  <c r="F156" i="3"/>
  <c r="B157" i="3" s="1"/>
  <c r="D157" i="3" s="1"/>
  <c r="D160" i="2" l="1"/>
  <c r="E160" i="2" s="1"/>
  <c r="B161" i="2" s="1"/>
  <c r="F157" i="3"/>
  <c r="B158" i="3" s="1"/>
  <c r="D158" i="3" s="1"/>
  <c r="D161" i="2" l="1"/>
  <c r="E161" i="2" s="1"/>
  <c r="B162" i="2" s="1"/>
  <c r="F158" i="3"/>
  <c r="B159" i="3" s="1"/>
  <c r="D159" i="3" s="1"/>
  <c r="D162" i="2" l="1"/>
  <c r="E162" i="2" s="1"/>
  <c r="B163" i="2" s="1"/>
  <c r="F159" i="3"/>
  <c r="B160" i="3" s="1"/>
  <c r="D160" i="3" s="1"/>
  <c r="D163" i="2" l="1"/>
  <c r="E163" i="2" s="1"/>
  <c r="B164" i="2" s="1"/>
  <c r="F160" i="3"/>
  <c r="B161" i="3" s="1"/>
  <c r="D161" i="3" s="1"/>
  <c r="D164" i="2" l="1"/>
  <c r="E164" i="2" s="1"/>
  <c r="B165" i="2" s="1"/>
  <c r="F161" i="3"/>
  <c r="B162" i="3" s="1"/>
  <c r="D162" i="3" s="1"/>
  <c r="D165" i="2" l="1"/>
  <c r="E165" i="2" s="1"/>
  <c r="B166" i="2" s="1"/>
  <c r="F162" i="3"/>
  <c r="B163" i="3" s="1"/>
  <c r="D163" i="3" s="1"/>
  <c r="D166" i="2" l="1"/>
  <c r="E166" i="2" s="1"/>
  <c r="B167" i="2" s="1"/>
  <c r="F163" i="3"/>
  <c r="B164" i="3" s="1"/>
  <c r="D164" i="3" s="1"/>
  <c r="D167" i="2" l="1"/>
  <c r="E167" i="2" s="1"/>
  <c r="B168" i="2" s="1"/>
  <c r="F164" i="3"/>
  <c r="B165" i="3" s="1"/>
  <c r="D165" i="3" s="1"/>
  <c r="D168" i="2" l="1"/>
  <c r="E168" i="2" s="1"/>
  <c r="B169" i="2" s="1"/>
  <c r="F165" i="3"/>
  <c r="B166" i="3" s="1"/>
  <c r="D166" i="3" s="1"/>
  <c r="D169" i="2" l="1"/>
  <c r="E169" i="2" s="1"/>
  <c r="F166" i="3"/>
  <c r="B167" i="3" s="1"/>
  <c r="D167" i="3" s="1"/>
  <c r="F167" i="3" l="1"/>
  <c r="B168" i="3" s="1"/>
  <c r="D168" i="3" s="1"/>
  <c r="F168" i="3" l="1"/>
  <c r="B169" i="3" s="1"/>
  <c r="D169" i="3" s="1"/>
  <c r="F169" i="3" l="1"/>
  <c r="B170" i="3" s="1"/>
  <c r="D170" i="3" s="1"/>
  <c r="F170" i="3" l="1"/>
  <c r="B171" i="3" s="1"/>
  <c r="D171" i="3" s="1"/>
  <c r="F171" i="3" l="1"/>
  <c r="B172" i="3" s="1"/>
  <c r="D172" i="3" s="1"/>
  <c r="F172" i="3" l="1"/>
  <c r="B173" i="3" s="1"/>
  <c r="D173" i="3" s="1"/>
  <c r="F173" i="3" l="1"/>
  <c r="B174" i="3" s="1"/>
  <c r="D174" i="3" s="1"/>
  <c r="F174" i="3" l="1"/>
  <c r="B175" i="3" s="1"/>
  <c r="D175" i="3" s="1"/>
  <c r="F175" i="3" l="1"/>
  <c r="B176" i="3" s="1"/>
  <c r="D176" i="3" s="1"/>
  <c r="F176" i="3" l="1"/>
  <c r="B177" i="3" s="1"/>
  <c r="D177" i="3" s="1"/>
  <c r="F177" i="3" l="1"/>
  <c r="B178" i="3" s="1"/>
  <c r="D178" i="3" s="1"/>
  <c r="F178" i="3" l="1"/>
  <c r="B179" i="3" s="1"/>
  <c r="D179" i="3" s="1"/>
  <c r="F179" i="3" l="1"/>
  <c r="B180" i="3" s="1"/>
  <c r="D180" i="3" s="1"/>
  <c r="F180" i="3" l="1"/>
  <c r="B181" i="3" s="1"/>
  <c r="D181" i="3" s="1"/>
  <c r="F181" i="3" l="1"/>
  <c r="B182" i="3" s="1"/>
  <c r="D182" i="3" s="1"/>
  <c r="F182" i="3" l="1"/>
  <c r="B183" i="3" s="1"/>
  <c r="D183" i="3" s="1"/>
  <c r="F183" i="3" l="1"/>
  <c r="B184" i="3" s="1"/>
  <c r="D184" i="3" s="1"/>
  <c r="F184" i="3" l="1"/>
  <c r="B185" i="3" s="1"/>
  <c r="D185" i="3" s="1"/>
  <c r="F185" i="3" l="1"/>
  <c r="B186" i="3" s="1"/>
  <c r="D186" i="3" s="1"/>
  <c r="F186" i="3" l="1"/>
  <c r="B187" i="3" s="1"/>
  <c r="D187" i="3" s="1"/>
  <c r="F187" i="3" l="1"/>
  <c r="B188" i="3" s="1"/>
  <c r="D188" i="3" s="1"/>
  <c r="F188" i="3" l="1"/>
  <c r="B189" i="3" s="1"/>
  <c r="D189" i="3" s="1"/>
  <c r="F189" i="3" l="1"/>
  <c r="B190" i="3" s="1"/>
  <c r="D190" i="3" s="1"/>
  <c r="F190" i="3" l="1"/>
  <c r="B191" i="3" s="1"/>
  <c r="D191" i="3" s="1"/>
  <c r="F191" i="3" l="1"/>
  <c r="B192" i="3" s="1"/>
  <c r="D192" i="3" s="1"/>
  <c r="F192" i="3" l="1"/>
  <c r="B193" i="3" s="1"/>
  <c r="D193" i="3" s="1"/>
  <c r="F193" i="3" l="1"/>
  <c r="B194" i="3" s="1"/>
  <c r="D194" i="3" s="1"/>
  <c r="F194" i="3" l="1"/>
  <c r="B195" i="3" s="1"/>
  <c r="D195" i="3" s="1"/>
  <c r="F195" i="3" l="1"/>
  <c r="B196" i="3" s="1"/>
  <c r="D196" i="3" s="1"/>
  <c r="F196" i="3" l="1"/>
  <c r="B197" i="3" s="1"/>
  <c r="D197" i="3" s="1"/>
  <c r="F197" i="3" l="1"/>
  <c r="B198" i="3" s="1"/>
  <c r="D198" i="3" s="1"/>
  <c r="F198" i="3" l="1"/>
  <c r="B199" i="3" s="1"/>
  <c r="D199" i="3" s="1"/>
  <c r="F199" i="3" l="1"/>
  <c r="B200" i="3" s="1"/>
  <c r="D200" i="3" s="1"/>
  <c r="F200" i="3" l="1"/>
  <c r="B201" i="3" s="1"/>
  <c r="D201" i="3" s="1"/>
  <c r="F201" i="3" l="1"/>
  <c r="B202" i="3" s="1"/>
  <c r="D202" i="3" s="1"/>
  <c r="F202" i="3" l="1"/>
  <c r="B203" i="3" s="1"/>
  <c r="D203" i="3" s="1"/>
  <c r="F203" i="3" l="1"/>
  <c r="B204" i="3" s="1"/>
  <c r="D204" i="3" s="1"/>
  <c r="F204" i="3" l="1"/>
  <c r="B205" i="3" s="1"/>
  <c r="D205" i="3" s="1"/>
  <c r="F205" i="3" l="1"/>
  <c r="B206" i="3" s="1"/>
  <c r="D206" i="3" s="1"/>
  <c r="F206" i="3" l="1"/>
  <c r="B207" i="3" s="1"/>
  <c r="D207" i="3" s="1"/>
  <c r="F207" i="3" l="1"/>
  <c r="B208" i="3" s="1"/>
  <c r="D208" i="3" s="1"/>
  <c r="F208" i="3" l="1"/>
  <c r="B209" i="3" s="1"/>
  <c r="D209" i="3" s="1"/>
  <c r="F209" i="3" l="1"/>
  <c r="B210" i="3" s="1"/>
  <c r="D210" i="3" s="1"/>
  <c r="F210" i="3" l="1"/>
  <c r="B211" i="3" s="1"/>
  <c r="D211" i="3" s="1"/>
  <c r="F211" i="3" l="1"/>
  <c r="B212" i="3" s="1"/>
  <c r="D212" i="3" s="1"/>
  <c r="F212" i="3" l="1"/>
  <c r="B213" i="3" s="1"/>
  <c r="D213" i="3" s="1"/>
  <c r="F213" i="3" l="1"/>
  <c r="B214" i="3" s="1"/>
  <c r="D214" i="3" s="1"/>
  <c r="F214" i="3" l="1"/>
  <c r="B215" i="3" s="1"/>
  <c r="D215" i="3" s="1"/>
  <c r="F215" i="3" l="1"/>
  <c r="B216" i="3" s="1"/>
  <c r="D216" i="3" s="1"/>
  <c r="F216" i="3" l="1"/>
  <c r="B217" i="3" s="1"/>
  <c r="D217" i="3" s="1"/>
  <c r="F217" i="3" l="1"/>
  <c r="B218" i="3" s="1"/>
  <c r="D218" i="3" s="1"/>
  <c r="F218" i="3" l="1"/>
  <c r="B219" i="3" s="1"/>
  <c r="D219" i="3" s="1"/>
  <c r="F219" i="3" l="1"/>
  <c r="B220" i="3" s="1"/>
  <c r="D220" i="3" s="1"/>
  <c r="F220" i="3" l="1"/>
  <c r="B221" i="3" s="1"/>
  <c r="D221" i="3" s="1"/>
  <c r="F221" i="3" l="1"/>
  <c r="B222" i="3" s="1"/>
  <c r="D222" i="3" s="1"/>
  <c r="F222" i="3" l="1"/>
  <c r="B223" i="3" s="1"/>
  <c r="D223" i="3" s="1"/>
  <c r="F223" i="3" l="1"/>
  <c r="B224" i="3" s="1"/>
  <c r="D224" i="3" s="1"/>
  <c r="F224" i="3" l="1"/>
  <c r="B225" i="3" s="1"/>
  <c r="D225" i="3" s="1"/>
  <c r="F225" i="3" l="1"/>
  <c r="B226" i="3" s="1"/>
  <c r="D226" i="3" s="1"/>
  <c r="F226" i="3" l="1"/>
  <c r="B227" i="3" s="1"/>
  <c r="D227" i="3" s="1"/>
  <c r="F227" i="3" l="1"/>
  <c r="B228" i="3" s="1"/>
  <c r="D228" i="3" s="1"/>
  <c r="F228" i="3" l="1"/>
  <c r="B229" i="3" s="1"/>
  <c r="D229" i="3" s="1"/>
  <c r="F229" i="3" l="1"/>
  <c r="B230" i="3" s="1"/>
  <c r="D230" i="3" s="1"/>
  <c r="F230" i="3" l="1"/>
  <c r="B231" i="3" s="1"/>
  <c r="D231" i="3" s="1"/>
  <c r="F231" i="3" l="1"/>
  <c r="B232" i="3" s="1"/>
  <c r="D232" i="3" s="1"/>
  <c r="F232" i="3" l="1"/>
  <c r="B233" i="3" s="1"/>
  <c r="D233" i="3" s="1"/>
  <c r="F233" i="3" l="1"/>
  <c r="B234" i="3" s="1"/>
  <c r="D234" i="3" s="1"/>
  <c r="F234" i="3" l="1"/>
  <c r="B235" i="3" s="1"/>
  <c r="D235" i="3" s="1"/>
  <c r="F235" i="3" l="1"/>
  <c r="B236" i="3" s="1"/>
  <c r="D236" i="3" s="1"/>
  <c r="F236" i="3" l="1"/>
  <c r="B237" i="3" s="1"/>
  <c r="D237" i="3" s="1"/>
  <c r="F237" i="3" l="1"/>
  <c r="B238" i="3" s="1"/>
  <c r="D238" i="3" s="1"/>
  <c r="F238" i="3" l="1"/>
  <c r="B239" i="3" s="1"/>
  <c r="D239" i="3" s="1"/>
  <c r="F239" i="3" l="1"/>
  <c r="B240" i="3" s="1"/>
  <c r="D240" i="3" s="1"/>
  <c r="F240" i="3" l="1"/>
  <c r="B241" i="3" s="1"/>
  <c r="D241" i="3" s="1"/>
  <c r="F241" i="3" l="1"/>
  <c r="B242" i="3" s="1"/>
  <c r="D242" i="3" s="1"/>
  <c r="F242" i="3" l="1"/>
  <c r="B243" i="3" s="1"/>
  <c r="D243" i="3" s="1"/>
  <c r="F243" i="3" l="1"/>
  <c r="B244" i="3" s="1"/>
  <c r="D244" i="3" s="1"/>
  <c r="F244" i="3" l="1"/>
  <c r="B245" i="3" s="1"/>
  <c r="D245" i="3" s="1"/>
  <c r="F245" i="3" l="1"/>
  <c r="B246" i="3" s="1"/>
  <c r="D246" i="3" s="1"/>
  <c r="F246" i="3" l="1"/>
  <c r="B247" i="3" s="1"/>
  <c r="D247" i="3" s="1"/>
  <c r="F247" i="3" l="1"/>
  <c r="B248" i="3" s="1"/>
  <c r="D248" i="3" s="1"/>
  <c r="F248" i="3" l="1"/>
  <c r="B249" i="3" s="1"/>
  <c r="D249" i="3" s="1"/>
  <c r="F249" i="3" l="1"/>
  <c r="B250" i="3" s="1"/>
  <c r="D250" i="3" s="1"/>
  <c r="F250" i="3" l="1"/>
  <c r="B251" i="3" s="1"/>
  <c r="D251" i="3" s="1"/>
  <c r="F251" i="3" l="1"/>
  <c r="B252" i="3" s="1"/>
  <c r="D252" i="3" s="1"/>
  <c r="F252" i="3" l="1"/>
  <c r="B253" i="3" s="1"/>
  <c r="D253" i="3" s="1"/>
  <c r="F253" i="3" l="1"/>
  <c r="B254" i="3" s="1"/>
  <c r="D254" i="3" s="1"/>
  <c r="F254" i="3" l="1"/>
  <c r="B255" i="3" s="1"/>
  <c r="D255" i="3" s="1"/>
  <c r="F255" i="3" l="1"/>
  <c r="B256" i="3" s="1"/>
  <c r="D256" i="3" s="1"/>
  <c r="F256" i="3" l="1"/>
  <c r="B257" i="3" s="1"/>
  <c r="D257" i="3" s="1"/>
  <c r="F257" i="3" l="1"/>
  <c r="B258" i="3" s="1"/>
  <c r="D258" i="3" s="1"/>
  <c r="F258" i="3" l="1"/>
  <c r="B259" i="3" s="1"/>
  <c r="D259" i="3" s="1"/>
  <c r="F259" i="3" l="1"/>
  <c r="B260" i="3" s="1"/>
  <c r="D260" i="3" s="1"/>
  <c r="F260" i="3" l="1"/>
  <c r="B261" i="3" s="1"/>
  <c r="D261" i="3" s="1"/>
  <c r="F261" i="3" l="1"/>
  <c r="B262" i="3" s="1"/>
  <c r="D262" i="3" s="1"/>
  <c r="F262" i="3" l="1"/>
  <c r="B263" i="3" s="1"/>
  <c r="D263" i="3" s="1"/>
  <c r="F263" i="3" l="1"/>
  <c r="B264" i="3" s="1"/>
  <c r="D264" i="3" s="1"/>
  <c r="F264" i="3" l="1"/>
  <c r="B265" i="3" s="1"/>
  <c r="D265" i="3" s="1"/>
  <c r="F265" i="3" l="1"/>
  <c r="B266" i="3" s="1"/>
  <c r="D266" i="3" s="1"/>
  <c r="F266" i="3" l="1"/>
  <c r="B267" i="3" s="1"/>
  <c r="D267" i="3" s="1"/>
  <c r="F267" i="3" l="1"/>
  <c r="B268" i="3" s="1"/>
  <c r="D268" i="3" s="1"/>
  <c r="F268" i="3" l="1"/>
  <c r="B269" i="3" s="1"/>
  <c r="D269" i="3" s="1"/>
  <c r="F269" i="3" l="1"/>
  <c r="B270" i="3" s="1"/>
  <c r="D270" i="3" s="1"/>
  <c r="F270" i="3" l="1"/>
  <c r="B271" i="3" s="1"/>
  <c r="D271" i="3" s="1"/>
  <c r="F271" i="3" l="1"/>
  <c r="B272" i="3" s="1"/>
  <c r="D272" i="3" s="1"/>
  <c r="F272" i="3" l="1"/>
  <c r="B273" i="3" s="1"/>
  <c r="D273" i="3" s="1"/>
  <c r="F273" i="3" l="1"/>
  <c r="B274" i="3" s="1"/>
  <c r="D274" i="3" s="1"/>
  <c r="F274" i="3" l="1"/>
  <c r="B275" i="3" s="1"/>
  <c r="D275" i="3" s="1"/>
  <c r="F275" i="3" l="1"/>
  <c r="B276" i="3" s="1"/>
  <c r="D276" i="3" s="1"/>
  <c r="F276" i="3" l="1"/>
  <c r="B277" i="3" s="1"/>
  <c r="D277" i="3" s="1"/>
  <c r="F277" i="3" l="1"/>
  <c r="B278" i="3" s="1"/>
  <c r="D278" i="3" s="1"/>
  <c r="F278" i="3" l="1"/>
  <c r="B279" i="3" s="1"/>
  <c r="D279" i="3" s="1"/>
  <c r="F279" i="3" l="1"/>
  <c r="B280" i="3" s="1"/>
  <c r="D280" i="3" s="1"/>
  <c r="F280" i="3" l="1"/>
  <c r="B281" i="3" s="1"/>
  <c r="D281" i="3" s="1"/>
  <c r="F281" i="3" l="1"/>
  <c r="B282" i="3" s="1"/>
  <c r="D282" i="3" s="1"/>
  <c r="F282" i="3" l="1"/>
  <c r="B283" i="3" s="1"/>
  <c r="D283" i="3" s="1"/>
  <c r="F283" i="3" l="1"/>
  <c r="B284" i="3" s="1"/>
  <c r="D284" i="3" s="1"/>
  <c r="F284" i="3" l="1"/>
  <c r="B285" i="3" s="1"/>
  <c r="D285" i="3" s="1"/>
  <c r="F285" i="3" l="1"/>
  <c r="B286" i="3" s="1"/>
  <c r="D286" i="3" s="1"/>
  <c r="F286" i="3" l="1"/>
  <c r="B287" i="3" s="1"/>
  <c r="D287" i="3" s="1"/>
  <c r="F287" i="3" l="1"/>
  <c r="B288" i="3" s="1"/>
  <c r="D288" i="3" s="1"/>
  <c r="F288" i="3" l="1"/>
  <c r="B289" i="3" s="1"/>
  <c r="D289" i="3" s="1"/>
  <c r="F289" i="3" l="1"/>
  <c r="B290" i="3" s="1"/>
  <c r="D290" i="3" s="1"/>
  <c r="F290" i="3" l="1"/>
  <c r="B291" i="3" s="1"/>
  <c r="D291" i="3" s="1"/>
  <c r="F291" i="3" l="1"/>
  <c r="B292" i="3" s="1"/>
  <c r="D292" i="3" s="1"/>
  <c r="F292" i="3" l="1"/>
  <c r="B293" i="3" s="1"/>
  <c r="D293" i="3" s="1"/>
  <c r="F293" i="3" l="1"/>
  <c r="B294" i="3" s="1"/>
  <c r="D294" i="3" s="1"/>
  <c r="F294" i="3" l="1"/>
  <c r="B295" i="3" s="1"/>
  <c r="D295" i="3" s="1"/>
  <c r="F295" i="3" l="1"/>
  <c r="B296" i="3" s="1"/>
  <c r="D296" i="3" s="1"/>
  <c r="F296" i="3" l="1"/>
  <c r="B297" i="3" s="1"/>
  <c r="D297" i="3" s="1"/>
  <c r="F297" i="3" l="1"/>
  <c r="B298" i="3" s="1"/>
  <c r="D298" i="3" s="1"/>
  <c r="F298" i="3" l="1"/>
  <c r="B299" i="3" s="1"/>
  <c r="D299" i="3" s="1"/>
  <c r="F299" i="3" l="1"/>
  <c r="B300" i="3" s="1"/>
  <c r="D300" i="3" s="1"/>
  <c r="F300" i="3" l="1"/>
  <c r="B301" i="3" s="1"/>
  <c r="D301" i="3" s="1"/>
  <c r="F301" i="3" l="1"/>
  <c r="B302" i="3" s="1"/>
  <c r="D302" i="3" s="1"/>
  <c r="F302" i="3" l="1"/>
  <c r="B303" i="3" s="1"/>
  <c r="D303" i="3" s="1"/>
  <c r="F303" i="3" l="1"/>
  <c r="B304" i="3" s="1"/>
  <c r="D304" i="3" s="1"/>
  <c r="F304" i="3" l="1"/>
  <c r="B305" i="3" s="1"/>
  <c r="D305" i="3" s="1"/>
  <c r="F305" i="3" l="1"/>
  <c r="B306" i="3" s="1"/>
  <c r="D306" i="3" s="1"/>
  <c r="F306" i="3" l="1"/>
  <c r="B307" i="3" s="1"/>
  <c r="D307" i="3" s="1"/>
  <c r="F307" i="3" l="1"/>
  <c r="B308" i="3" s="1"/>
  <c r="D308" i="3" s="1"/>
  <c r="F308" i="3" l="1"/>
  <c r="B309" i="3" s="1"/>
  <c r="D309" i="3" s="1"/>
  <c r="F309" i="3" l="1"/>
  <c r="B310" i="3" s="1"/>
  <c r="D310" i="3" s="1"/>
  <c r="F310" i="3" l="1"/>
  <c r="B311" i="3" s="1"/>
  <c r="D311" i="3" s="1"/>
  <c r="F311" i="3" l="1"/>
  <c r="B312" i="3" s="1"/>
  <c r="D312" i="3" s="1"/>
  <c r="F312" i="3" l="1"/>
  <c r="B313" i="3" s="1"/>
  <c r="D313" i="3" s="1"/>
  <c r="F313" i="3" l="1"/>
  <c r="B314" i="3" s="1"/>
  <c r="D314" i="3" s="1"/>
  <c r="F314" i="3" l="1"/>
  <c r="B315" i="3" s="1"/>
  <c r="D315" i="3" s="1"/>
  <c r="F315" i="3" l="1"/>
  <c r="B316" i="3" s="1"/>
  <c r="D316" i="3" s="1"/>
  <c r="F316" i="3" l="1"/>
  <c r="B317" i="3" s="1"/>
  <c r="D317" i="3" s="1"/>
  <c r="F317" i="3" l="1"/>
  <c r="B318" i="3" s="1"/>
  <c r="D318" i="3" s="1"/>
  <c r="F318" i="3" l="1"/>
  <c r="B319" i="3" s="1"/>
  <c r="D319" i="3" s="1"/>
  <c r="F319" i="3" l="1"/>
  <c r="B320" i="3" s="1"/>
  <c r="D320" i="3" s="1"/>
  <c r="F320" i="3" l="1"/>
  <c r="B321" i="3" s="1"/>
  <c r="D321" i="3" s="1"/>
  <c r="F321" i="3" l="1"/>
  <c r="B322" i="3" s="1"/>
  <c r="D322" i="3" s="1"/>
  <c r="F322" i="3" l="1"/>
  <c r="B323" i="3" s="1"/>
  <c r="D323" i="3" s="1"/>
  <c r="F323" i="3" l="1"/>
  <c r="B324" i="3" s="1"/>
  <c r="D324" i="3" s="1"/>
  <c r="F324" i="3" l="1"/>
  <c r="B325" i="3" s="1"/>
  <c r="D325" i="3" s="1"/>
  <c r="F325" i="3" l="1"/>
  <c r="B326" i="3" s="1"/>
  <c r="D326" i="3" s="1"/>
  <c r="F326" i="3" l="1"/>
  <c r="B327" i="3" s="1"/>
  <c r="D327" i="3" s="1"/>
  <c r="F327" i="3" l="1"/>
  <c r="B328" i="3" s="1"/>
  <c r="D328" i="3" s="1"/>
  <c r="F328" i="3" l="1"/>
  <c r="B329" i="3" s="1"/>
  <c r="D329" i="3" s="1"/>
  <c r="F329" i="3" l="1"/>
  <c r="B330" i="3" s="1"/>
  <c r="D330" i="3" s="1"/>
  <c r="F330" i="3" l="1"/>
  <c r="B331" i="3" s="1"/>
  <c r="D331" i="3" s="1"/>
  <c r="F331" i="3" l="1"/>
  <c r="B332" i="3" s="1"/>
  <c r="D332" i="3" s="1"/>
  <c r="F332" i="3" l="1"/>
  <c r="B333" i="3" s="1"/>
  <c r="D333" i="3" s="1"/>
  <c r="F333" i="3" l="1"/>
  <c r="B334" i="3" s="1"/>
  <c r="D334" i="3" s="1"/>
  <c r="F334" i="3" l="1"/>
  <c r="B335" i="3" s="1"/>
  <c r="D335" i="3" s="1"/>
  <c r="F335" i="3" l="1"/>
  <c r="B336" i="3" s="1"/>
  <c r="D336" i="3" s="1"/>
  <c r="F336" i="3" l="1"/>
  <c r="B337" i="3" s="1"/>
  <c r="D337" i="3" s="1"/>
  <c r="F337" i="3" l="1"/>
  <c r="B338" i="3" s="1"/>
  <c r="D338" i="3" s="1"/>
  <c r="F338" i="3" l="1"/>
  <c r="B339" i="3" s="1"/>
  <c r="D339" i="3" s="1"/>
  <c r="F339" i="3" l="1"/>
  <c r="B340" i="3" s="1"/>
  <c r="D340" i="3" s="1"/>
  <c r="F340" i="3" l="1"/>
  <c r="B341" i="3" s="1"/>
  <c r="D341" i="3" s="1"/>
  <c r="F341" i="3" l="1"/>
  <c r="B342" i="3" s="1"/>
  <c r="D342" i="3" s="1"/>
  <c r="F342" i="3" l="1"/>
  <c r="B343" i="3" s="1"/>
  <c r="D343" i="3" s="1"/>
  <c r="F343" i="3" l="1"/>
  <c r="B344" i="3" s="1"/>
  <c r="D344" i="3" s="1"/>
  <c r="F344" i="3" l="1"/>
  <c r="B345" i="3" s="1"/>
  <c r="D345" i="3" s="1"/>
  <c r="F345" i="3" l="1"/>
  <c r="B346" i="3" s="1"/>
  <c r="D346" i="3" s="1"/>
  <c r="F346" i="3" l="1"/>
  <c r="B347" i="3" s="1"/>
  <c r="D347" i="3" s="1"/>
  <c r="F347" i="3" l="1"/>
  <c r="B348" i="3" s="1"/>
  <c r="D348" i="3" s="1"/>
  <c r="F348" i="3" l="1"/>
  <c r="B349" i="3" s="1"/>
  <c r="D349" i="3" s="1"/>
  <c r="F349" i="3" l="1"/>
  <c r="B350" i="3" s="1"/>
  <c r="D350" i="3" s="1"/>
  <c r="F350" i="3" l="1"/>
  <c r="B351" i="3" s="1"/>
  <c r="D351" i="3" s="1"/>
  <c r="F351" i="3" l="1"/>
  <c r="B352" i="3" s="1"/>
  <c r="D352" i="3" s="1"/>
  <c r="F352" i="3" l="1"/>
  <c r="B353" i="3" s="1"/>
  <c r="D353" i="3" s="1"/>
  <c r="F353" i="3" l="1"/>
  <c r="B354" i="3" s="1"/>
  <c r="D354" i="3" s="1"/>
  <c r="F354" i="3" l="1"/>
  <c r="B355" i="3" s="1"/>
  <c r="D355" i="3" s="1"/>
  <c r="F355" i="3" l="1"/>
  <c r="B356" i="3" s="1"/>
  <c r="D356" i="3" s="1"/>
  <c r="F356" i="3" l="1"/>
  <c r="B357" i="3" s="1"/>
  <c r="D357" i="3" s="1"/>
  <c r="F357" i="3" l="1"/>
  <c r="B358" i="3" s="1"/>
  <c r="D358" i="3" s="1"/>
  <c r="F358" i="3" l="1"/>
  <c r="B359" i="3" s="1"/>
  <c r="D359" i="3" s="1"/>
  <c r="F359" i="3" l="1"/>
  <c r="B360" i="3" s="1"/>
  <c r="D360" i="3" s="1"/>
  <c r="F360" i="3" l="1"/>
  <c r="B361" i="3" s="1"/>
  <c r="D361" i="3" s="1"/>
  <c r="F361" i="3" l="1"/>
  <c r="B362" i="3" s="1"/>
  <c r="D362" i="3" s="1"/>
  <c r="F362" i="3" l="1"/>
  <c r="B363" i="3" s="1"/>
  <c r="D363" i="3" s="1"/>
  <c r="F363" i="3" l="1"/>
  <c r="B364" i="3" s="1"/>
  <c r="D364" i="3" s="1"/>
  <c r="F364" i="3" l="1"/>
  <c r="B365" i="3" s="1"/>
  <c r="D365" i="3" s="1"/>
  <c r="F365" i="3" l="1"/>
  <c r="B366" i="3" s="1"/>
  <c r="D366" i="3" s="1"/>
  <c r="F366" i="3" l="1"/>
  <c r="B367" i="3" s="1"/>
  <c r="D367" i="3" s="1"/>
  <c r="F367" i="3" l="1"/>
  <c r="B368" i="3" s="1"/>
  <c r="D368" i="3" s="1"/>
  <c r="F368" i="3" l="1"/>
  <c r="B369" i="3" s="1"/>
  <c r="D369" i="3" s="1"/>
  <c r="F369" i="3" l="1"/>
  <c r="B370" i="3" s="1"/>
  <c r="D370" i="3" s="1"/>
  <c r="F370" i="3" l="1"/>
  <c r="B371" i="3" s="1"/>
  <c r="D371" i="3" s="1"/>
  <c r="F371" i="3" l="1"/>
  <c r="B372" i="3" s="1"/>
  <c r="D372" i="3" s="1"/>
  <c r="F372" i="3" l="1"/>
  <c r="B373" i="3" s="1"/>
  <c r="D373" i="3" s="1"/>
  <c r="F373" i="3" l="1"/>
  <c r="B374" i="3" s="1"/>
  <c r="D374" i="3" s="1"/>
  <c r="F374" i="3" l="1"/>
  <c r="B375" i="3" s="1"/>
  <c r="D375" i="3" s="1"/>
  <c r="F375" i="3" l="1"/>
  <c r="B376" i="3" s="1"/>
  <c r="D376" i="3" s="1"/>
  <c r="F376" i="3" l="1"/>
  <c r="B377" i="3" s="1"/>
  <c r="D377" i="3" s="1"/>
  <c r="F377" i="3" l="1"/>
  <c r="B378" i="3" s="1"/>
  <c r="D378" i="3" s="1"/>
  <c r="F378" i="3" l="1"/>
  <c r="B379" i="3" s="1"/>
  <c r="D379" i="3" s="1"/>
  <c r="F379" i="3" l="1"/>
  <c r="B380" i="3" s="1"/>
  <c r="D380" i="3" s="1"/>
  <c r="F380" i="3" l="1"/>
  <c r="B381" i="3" s="1"/>
  <c r="D381" i="3" s="1"/>
  <c r="F381" i="3" l="1"/>
  <c r="B382" i="3" s="1"/>
  <c r="D382" i="3" s="1"/>
  <c r="F382" i="3" l="1"/>
  <c r="B383" i="3" s="1"/>
  <c r="D383" i="3" s="1"/>
  <c r="F383" i="3" l="1"/>
  <c r="B384" i="3" s="1"/>
  <c r="D384" i="3" s="1"/>
  <c r="F384" i="3" l="1"/>
  <c r="B385" i="3" s="1"/>
  <c r="D385" i="3" s="1"/>
  <c r="F385" i="3" l="1"/>
  <c r="B386" i="3" s="1"/>
  <c r="D386" i="3" s="1"/>
  <c r="F386" i="3" l="1"/>
  <c r="B387" i="3" s="1"/>
  <c r="D387" i="3" s="1"/>
  <c r="F387" i="3" l="1"/>
  <c r="B388" i="3" s="1"/>
  <c r="D388" i="3" s="1"/>
  <c r="F388" i="3" l="1"/>
  <c r="B389" i="3" s="1"/>
  <c r="D389" i="3" s="1"/>
  <c r="F389" i="3" l="1"/>
  <c r="B390" i="3" s="1"/>
  <c r="D390" i="3" s="1"/>
  <c r="F390" i="3" l="1"/>
  <c r="B391" i="3" s="1"/>
  <c r="D391" i="3" s="1"/>
  <c r="F391" i="3" l="1"/>
  <c r="B392" i="3" s="1"/>
  <c r="D392" i="3" s="1"/>
  <c r="F392" i="3" l="1"/>
  <c r="B393" i="3" s="1"/>
  <c r="D393" i="3" s="1"/>
  <c r="F393" i="3" l="1"/>
  <c r="B394" i="3" s="1"/>
  <c r="D394" i="3" s="1"/>
  <c r="F394" i="3" l="1"/>
  <c r="B395" i="3" s="1"/>
  <c r="D395" i="3" s="1"/>
  <c r="F395" i="3" l="1"/>
  <c r="B396" i="3" s="1"/>
  <c r="D396" i="3" s="1"/>
  <c r="F396" i="3" l="1"/>
  <c r="B397" i="3" s="1"/>
  <c r="D397" i="3" s="1"/>
  <c r="F397" i="3" l="1"/>
  <c r="B398" i="3" s="1"/>
  <c r="D398" i="3" s="1"/>
  <c r="F398" i="3" l="1"/>
  <c r="B399" i="3" s="1"/>
  <c r="D399" i="3" s="1"/>
  <c r="F399" i="3" l="1"/>
  <c r="B400" i="3" s="1"/>
  <c r="D400" i="3" s="1"/>
  <c r="F400" i="3" l="1"/>
  <c r="B401" i="3" s="1"/>
  <c r="D401" i="3" s="1"/>
  <c r="F401" i="3" l="1"/>
  <c r="B402" i="3" s="1"/>
  <c r="D402" i="3" s="1"/>
  <c r="F402" i="3" l="1"/>
  <c r="B403" i="3" s="1"/>
  <c r="D403" i="3" s="1"/>
  <c r="F403" i="3" l="1"/>
  <c r="B404" i="3" s="1"/>
  <c r="D404" i="3" s="1"/>
  <c r="F404" i="3" l="1"/>
  <c r="B405" i="3" s="1"/>
  <c r="D405" i="3" s="1"/>
  <c r="F405" i="3" l="1"/>
  <c r="B406" i="3" s="1"/>
  <c r="D406" i="3" s="1"/>
  <c r="F406" i="3" l="1"/>
  <c r="B407" i="3" s="1"/>
  <c r="D407" i="3" s="1"/>
  <c r="F407" i="3" l="1"/>
  <c r="B408" i="3" s="1"/>
  <c r="D408" i="3" s="1"/>
  <c r="F408" i="3" l="1"/>
  <c r="B409" i="3" s="1"/>
  <c r="D409" i="3" s="1"/>
  <c r="F409" i="3" l="1"/>
  <c r="B410" i="3" s="1"/>
  <c r="D410" i="3" s="1"/>
  <c r="F410" i="3" l="1"/>
  <c r="B411" i="3" s="1"/>
  <c r="D411" i="3" s="1"/>
  <c r="F411" i="3" l="1"/>
  <c r="B412" i="3" s="1"/>
  <c r="D412" i="3" s="1"/>
  <c r="F412" i="3" l="1"/>
  <c r="B413" i="3" s="1"/>
  <c r="D413" i="3" s="1"/>
  <c r="F413" i="3" l="1"/>
  <c r="B414" i="3" s="1"/>
  <c r="D414" i="3" s="1"/>
  <c r="F414" i="3" l="1"/>
  <c r="B415" i="3" s="1"/>
  <c r="D415" i="3" s="1"/>
  <c r="F415" i="3" l="1"/>
  <c r="B416" i="3" s="1"/>
  <c r="D416" i="3" s="1"/>
  <c r="F416" i="3" l="1"/>
  <c r="B417" i="3" s="1"/>
  <c r="D417" i="3" s="1"/>
  <c r="F417" i="3" l="1"/>
  <c r="B418" i="3" s="1"/>
  <c r="D418" i="3" s="1"/>
  <c r="F418" i="3" l="1"/>
  <c r="B419" i="3" s="1"/>
  <c r="D419" i="3" s="1"/>
  <c r="F419" i="3" l="1"/>
  <c r="B420" i="3" s="1"/>
  <c r="D420" i="3" s="1"/>
  <c r="F420" i="3" l="1"/>
  <c r="B421" i="3" s="1"/>
  <c r="D421" i="3" s="1"/>
  <c r="F421" i="3" l="1"/>
  <c r="B422" i="3" s="1"/>
  <c r="D422" i="3" s="1"/>
  <c r="F422" i="3" l="1"/>
  <c r="B423" i="3" s="1"/>
  <c r="D423" i="3" s="1"/>
  <c r="F423" i="3" l="1"/>
  <c r="B424" i="3" s="1"/>
  <c r="D424" i="3" s="1"/>
  <c r="F424" i="3" l="1"/>
  <c r="B425" i="3" s="1"/>
  <c r="D425" i="3" s="1"/>
  <c r="F425" i="3" l="1"/>
  <c r="B426" i="3" s="1"/>
  <c r="D426" i="3" s="1"/>
  <c r="F426" i="3" l="1"/>
  <c r="B427" i="3" s="1"/>
  <c r="D427" i="3" s="1"/>
  <c r="F427" i="3" l="1"/>
  <c r="B428" i="3" s="1"/>
  <c r="D428" i="3" s="1"/>
  <c r="F428" i="3" l="1"/>
  <c r="B429" i="3" s="1"/>
  <c r="D429" i="3" s="1"/>
  <c r="F429" i="3" l="1"/>
  <c r="B430" i="3" s="1"/>
  <c r="D430" i="3" s="1"/>
  <c r="F430" i="3" l="1"/>
  <c r="B431" i="3" s="1"/>
  <c r="D431" i="3" s="1"/>
  <c r="F431" i="3" l="1"/>
  <c r="B432" i="3" s="1"/>
  <c r="D432" i="3" s="1"/>
  <c r="F432" i="3" l="1"/>
  <c r="B433" i="3" s="1"/>
  <c r="D433" i="3" s="1"/>
  <c r="F433" i="3" l="1"/>
  <c r="B434" i="3" s="1"/>
  <c r="D434" i="3" s="1"/>
  <c r="F434" i="3" l="1"/>
  <c r="B435" i="3" s="1"/>
  <c r="D435" i="3" s="1"/>
  <c r="F435" i="3" l="1"/>
  <c r="B436" i="3" s="1"/>
  <c r="D436" i="3" s="1"/>
  <c r="F436" i="3" l="1"/>
  <c r="B437" i="3" s="1"/>
  <c r="D437" i="3" s="1"/>
  <c r="F437" i="3" l="1"/>
  <c r="B438" i="3" s="1"/>
  <c r="D438" i="3" s="1"/>
  <c r="F438" i="3" l="1"/>
  <c r="B439" i="3" s="1"/>
  <c r="D439" i="3" s="1"/>
  <c r="F439" i="3" l="1"/>
  <c r="B440" i="3" s="1"/>
  <c r="D440" i="3" s="1"/>
  <c r="F440" i="3" l="1"/>
  <c r="B441" i="3" s="1"/>
  <c r="D441" i="3" s="1"/>
  <c r="F441" i="3" l="1"/>
  <c r="B442" i="3" s="1"/>
  <c r="D442" i="3" s="1"/>
  <c r="F442" i="3" l="1"/>
  <c r="B443" i="3" s="1"/>
  <c r="D443" i="3" s="1"/>
  <c r="F443" i="3" l="1"/>
  <c r="B444" i="3" s="1"/>
  <c r="D444" i="3" s="1"/>
  <c r="F444" i="3" l="1"/>
  <c r="B445" i="3" s="1"/>
  <c r="D445" i="3" s="1"/>
  <c r="F445" i="3" l="1"/>
  <c r="B446" i="3" s="1"/>
  <c r="D446" i="3" s="1"/>
  <c r="F446" i="3" l="1"/>
  <c r="B447" i="3" s="1"/>
  <c r="D447" i="3" s="1"/>
  <c r="F447" i="3" l="1"/>
  <c r="B448" i="3" s="1"/>
  <c r="D448" i="3" s="1"/>
  <c r="F448" i="3" l="1"/>
  <c r="B449" i="3" s="1"/>
  <c r="D449" i="3" s="1"/>
  <c r="F449" i="3" l="1"/>
  <c r="B450" i="3" s="1"/>
  <c r="D450" i="3" s="1"/>
  <c r="F450" i="3" l="1"/>
  <c r="B451" i="3" s="1"/>
  <c r="D451" i="3" s="1"/>
  <c r="F451" i="3" l="1"/>
  <c r="B452" i="3" s="1"/>
  <c r="D452" i="3" s="1"/>
  <c r="F452" i="3" l="1"/>
  <c r="B453" i="3" s="1"/>
  <c r="D453" i="3" s="1"/>
  <c r="F453" i="3" l="1"/>
  <c r="B454" i="3" s="1"/>
  <c r="D454" i="3" s="1"/>
  <c r="F454" i="3" l="1"/>
  <c r="B455" i="3" s="1"/>
  <c r="D455" i="3" s="1"/>
  <c r="F455" i="3" l="1"/>
  <c r="B456" i="3" s="1"/>
  <c r="D456" i="3" s="1"/>
  <c r="F456" i="3" l="1"/>
  <c r="B457" i="3" s="1"/>
  <c r="D457" i="3" s="1"/>
  <c r="F457" i="3" l="1"/>
  <c r="B458" i="3" s="1"/>
  <c r="D458" i="3" s="1"/>
  <c r="F458" i="3" l="1"/>
  <c r="B459" i="3" s="1"/>
  <c r="D459" i="3" s="1"/>
  <c r="F459" i="3" l="1"/>
  <c r="B460" i="3" s="1"/>
  <c r="D460" i="3" s="1"/>
  <c r="F460" i="3" l="1"/>
  <c r="B461" i="3" s="1"/>
  <c r="D461" i="3" s="1"/>
  <c r="F461" i="3" l="1"/>
  <c r="B462" i="3" s="1"/>
  <c r="D462" i="3" s="1"/>
  <c r="F462" i="3" l="1"/>
  <c r="B463" i="3" s="1"/>
  <c r="D463" i="3" s="1"/>
  <c r="F463" i="3" l="1"/>
  <c r="B464" i="3" s="1"/>
  <c r="D464" i="3" s="1"/>
  <c r="F464" i="3" l="1"/>
  <c r="B465" i="3" s="1"/>
  <c r="D465" i="3" s="1"/>
  <c r="F465" i="3" l="1"/>
  <c r="B466" i="3" s="1"/>
  <c r="D466" i="3" s="1"/>
  <c r="F466" i="3" l="1"/>
  <c r="B467" i="3" s="1"/>
  <c r="D467" i="3" s="1"/>
  <c r="F467" i="3" l="1"/>
  <c r="B468" i="3" s="1"/>
  <c r="D468" i="3" s="1"/>
  <c r="F468" i="3" l="1"/>
  <c r="B469" i="3" s="1"/>
  <c r="D469" i="3" s="1"/>
  <c r="F469" i="3" l="1"/>
  <c r="B470" i="3" s="1"/>
  <c r="D470" i="3" s="1"/>
  <c r="F470" i="3" l="1"/>
  <c r="B471" i="3" s="1"/>
  <c r="D471" i="3" s="1"/>
  <c r="F471" i="3" l="1"/>
  <c r="B472" i="3" s="1"/>
  <c r="D472" i="3" s="1"/>
  <c r="F472" i="3" l="1"/>
  <c r="B473" i="3" s="1"/>
  <c r="D473" i="3" s="1"/>
  <c r="F473" i="3" l="1"/>
  <c r="B474" i="3" s="1"/>
  <c r="D474" i="3" s="1"/>
  <c r="F474" i="3" l="1"/>
  <c r="B475" i="3" s="1"/>
  <c r="D475" i="3" s="1"/>
  <c r="F475" i="3" l="1"/>
  <c r="B476" i="3" s="1"/>
  <c r="D476" i="3" s="1"/>
  <c r="F476" i="3" l="1"/>
  <c r="B477" i="3" s="1"/>
  <c r="D477" i="3" s="1"/>
  <c r="F477" i="3" l="1"/>
  <c r="B478" i="3" s="1"/>
  <c r="D478" i="3" s="1"/>
  <c r="F478" i="3" l="1"/>
  <c r="B479" i="3" s="1"/>
  <c r="D479" i="3" s="1"/>
  <c r="F479" i="3" l="1"/>
  <c r="B480" i="3" s="1"/>
  <c r="D480" i="3" s="1"/>
  <c r="F480" i="3" l="1"/>
  <c r="B481" i="3" s="1"/>
  <c r="D481" i="3" s="1"/>
  <c r="F481" i="3" l="1"/>
  <c r="B482" i="3" s="1"/>
  <c r="D482" i="3" s="1"/>
  <c r="F482" i="3" l="1"/>
  <c r="B483" i="3" s="1"/>
  <c r="D483" i="3" s="1"/>
  <c r="F483" i="3" l="1"/>
  <c r="B484" i="3" s="1"/>
  <c r="D484" i="3" s="1"/>
  <c r="F484" i="3" l="1"/>
  <c r="B485" i="3" s="1"/>
  <c r="D485" i="3" s="1"/>
  <c r="F485" i="3" l="1"/>
  <c r="B486" i="3" s="1"/>
  <c r="D486" i="3" s="1"/>
  <c r="F486" i="3" l="1"/>
  <c r="B487" i="3" s="1"/>
  <c r="D487" i="3" s="1"/>
  <c r="F487" i="3" l="1"/>
  <c r="B488" i="3" s="1"/>
  <c r="D488" i="3" s="1"/>
  <c r="F488" i="3" l="1"/>
  <c r="B489" i="3" s="1"/>
  <c r="D489" i="3" s="1"/>
  <c r="F489" i="3" l="1"/>
  <c r="B490" i="3" s="1"/>
  <c r="D490" i="3" s="1"/>
  <c r="F490" i="3" l="1"/>
  <c r="B491" i="3" s="1"/>
  <c r="D491" i="3" s="1"/>
  <c r="F491" i="3" l="1"/>
  <c r="B492" i="3" s="1"/>
  <c r="D492" i="3" s="1"/>
  <c r="F492" i="3" l="1"/>
  <c r="B493" i="3" s="1"/>
  <c r="D493" i="3" s="1"/>
  <c r="F493" i="3" l="1"/>
  <c r="B494" i="3" s="1"/>
  <c r="D494" i="3" s="1"/>
  <c r="F494" i="3" l="1"/>
  <c r="B495" i="3" s="1"/>
  <c r="D495" i="3" s="1"/>
  <c r="F495" i="3" l="1"/>
  <c r="B496" i="3" s="1"/>
  <c r="D496" i="3" s="1"/>
  <c r="F496" i="3" l="1"/>
  <c r="B497" i="3" s="1"/>
  <c r="D497" i="3" s="1"/>
  <c r="F497" i="3" l="1"/>
  <c r="B498" i="3" s="1"/>
  <c r="D498" i="3" s="1"/>
  <c r="F498" i="3" l="1"/>
  <c r="B499" i="3" s="1"/>
  <c r="D499" i="3" s="1"/>
  <c r="F499" i="3" l="1"/>
  <c r="B500" i="3" s="1"/>
  <c r="D500" i="3" s="1"/>
  <c r="F500" i="3" l="1"/>
  <c r="B501" i="3" s="1"/>
  <c r="D501" i="3" s="1"/>
  <c r="F501" i="3" l="1"/>
  <c r="B502" i="3" s="1"/>
  <c r="D502" i="3" s="1"/>
  <c r="F502" i="3" l="1"/>
  <c r="B503" i="3" s="1"/>
  <c r="D503" i="3" s="1"/>
  <c r="F503" i="3" l="1"/>
  <c r="B504" i="3" s="1"/>
  <c r="D504" i="3" s="1"/>
  <c r="F504" i="3" l="1"/>
  <c r="B505" i="3" s="1"/>
  <c r="D505" i="3" s="1"/>
  <c r="F505" i="3" l="1"/>
  <c r="B506" i="3" s="1"/>
  <c r="D506" i="3" s="1"/>
  <c r="F506" i="3" l="1"/>
  <c r="B507" i="3" s="1"/>
  <c r="D507" i="3" s="1"/>
  <c r="F507" i="3" l="1"/>
  <c r="B508" i="3" s="1"/>
  <c r="D508" i="3" s="1"/>
  <c r="F508" i="3" l="1"/>
  <c r="B509" i="3" s="1"/>
  <c r="D509" i="3" s="1"/>
  <c r="F509" i="3" l="1"/>
  <c r="B510" i="3" s="1"/>
  <c r="D510" i="3" s="1"/>
  <c r="F510" i="3" l="1"/>
  <c r="B511" i="3" s="1"/>
  <c r="D511" i="3" s="1"/>
  <c r="F511" i="3" l="1"/>
  <c r="B512" i="3" s="1"/>
  <c r="D512" i="3" s="1"/>
  <c r="F512" i="3" l="1"/>
  <c r="B513" i="3" s="1"/>
  <c r="D513" i="3" s="1"/>
  <c r="F513" i="3" l="1"/>
  <c r="B514" i="3" s="1"/>
  <c r="D514" i="3" s="1"/>
  <c r="F514" i="3" l="1"/>
  <c r="B515" i="3" s="1"/>
  <c r="D515" i="3" s="1"/>
  <c r="F515" i="3" l="1"/>
  <c r="B516" i="3" s="1"/>
  <c r="D516" i="3" s="1"/>
  <c r="F516" i="3" l="1"/>
  <c r="B517" i="3" s="1"/>
  <c r="D517" i="3" s="1"/>
  <c r="F517" i="3" l="1"/>
  <c r="B518" i="3" s="1"/>
  <c r="D518" i="3" s="1"/>
  <c r="F518" i="3" l="1"/>
  <c r="B519" i="3" s="1"/>
  <c r="D519" i="3" s="1"/>
  <c r="F519" i="3" l="1"/>
  <c r="B520" i="3" s="1"/>
  <c r="D520" i="3" s="1"/>
  <c r="F520" i="3" l="1"/>
  <c r="B521" i="3" s="1"/>
  <c r="D521" i="3" s="1"/>
  <c r="F521" i="3" l="1"/>
  <c r="B522" i="3" s="1"/>
  <c r="D522" i="3" s="1"/>
  <c r="F522" i="3" l="1"/>
  <c r="B523" i="3" s="1"/>
  <c r="D523" i="3" s="1"/>
  <c r="F523" i="3" l="1"/>
  <c r="B524" i="3" s="1"/>
  <c r="D524" i="3" s="1"/>
  <c r="F524" i="3" l="1"/>
  <c r="B525" i="3" s="1"/>
  <c r="D525" i="3" s="1"/>
  <c r="F525" i="3" l="1"/>
  <c r="B526" i="3" s="1"/>
  <c r="D526" i="3" s="1"/>
  <c r="F526" i="3" l="1"/>
  <c r="B527" i="3" s="1"/>
  <c r="D527" i="3" s="1"/>
  <c r="F527" i="3" l="1"/>
  <c r="B528" i="3" s="1"/>
  <c r="D528" i="3" s="1"/>
  <c r="F528" i="3" l="1"/>
  <c r="B529" i="3" s="1"/>
  <c r="D529" i="3" s="1"/>
  <c r="F529" i="3" l="1"/>
  <c r="B530" i="3" s="1"/>
  <c r="D530" i="3" s="1"/>
  <c r="F530" i="3" l="1"/>
  <c r="B531" i="3" s="1"/>
  <c r="D531" i="3" s="1"/>
  <c r="F531" i="3" l="1"/>
  <c r="B532" i="3" s="1"/>
  <c r="D532" i="3" s="1"/>
  <c r="F532" i="3" l="1"/>
  <c r="B533" i="3" s="1"/>
  <c r="D533" i="3" s="1"/>
  <c r="F533" i="3" l="1"/>
  <c r="B534" i="3" s="1"/>
  <c r="D534" i="3" s="1"/>
  <c r="F534" i="3" l="1"/>
  <c r="B535" i="3" s="1"/>
  <c r="D535" i="3" s="1"/>
  <c r="F535" i="3" l="1"/>
  <c r="B536" i="3" s="1"/>
  <c r="D536" i="3" s="1"/>
  <c r="F536" i="3" l="1"/>
  <c r="B537" i="3" s="1"/>
  <c r="D537" i="3" s="1"/>
  <c r="F537" i="3" l="1"/>
  <c r="B538" i="3" s="1"/>
  <c r="D538" i="3" s="1"/>
  <c r="F538" i="3" l="1"/>
  <c r="B539" i="3" s="1"/>
  <c r="D539" i="3" s="1"/>
  <c r="F539" i="3" l="1"/>
  <c r="B540" i="3" s="1"/>
  <c r="D540" i="3" s="1"/>
  <c r="F540" i="3" l="1"/>
  <c r="B541" i="3" s="1"/>
  <c r="D541" i="3" s="1"/>
  <c r="F541" i="3" l="1"/>
  <c r="B542" i="3" s="1"/>
  <c r="D542" i="3" s="1"/>
  <c r="F542" i="3" l="1"/>
  <c r="B543" i="3" s="1"/>
  <c r="D543" i="3" s="1"/>
  <c r="F543" i="3" l="1"/>
  <c r="B544" i="3" s="1"/>
  <c r="D544" i="3" s="1"/>
  <c r="F544" i="3" l="1"/>
  <c r="B545" i="3" s="1"/>
  <c r="D545" i="3" s="1"/>
  <c r="F545" i="3" l="1"/>
  <c r="B546" i="3" s="1"/>
  <c r="D546" i="3" s="1"/>
  <c r="F546" i="3" l="1"/>
  <c r="B547" i="3" s="1"/>
  <c r="D547" i="3" s="1"/>
  <c r="F547" i="3" l="1"/>
  <c r="B548" i="3" s="1"/>
  <c r="D548" i="3" s="1"/>
  <c r="F548" i="3" l="1"/>
  <c r="B549" i="3" s="1"/>
  <c r="D549" i="3" s="1"/>
  <c r="F549" i="3" l="1"/>
  <c r="B550" i="3" s="1"/>
  <c r="D550" i="3" s="1"/>
  <c r="F550" i="3" l="1"/>
  <c r="B551" i="3" s="1"/>
  <c r="D551" i="3" s="1"/>
  <c r="F551" i="3" l="1"/>
  <c r="B552" i="3" s="1"/>
  <c r="D552" i="3" s="1"/>
  <c r="F552" i="3" l="1"/>
  <c r="B553" i="3" s="1"/>
  <c r="D553" i="3" s="1"/>
  <c r="F553" i="3" l="1"/>
  <c r="B554" i="3" s="1"/>
  <c r="D554" i="3" s="1"/>
  <c r="F554" i="3" l="1"/>
  <c r="B555" i="3" s="1"/>
  <c r="D555" i="3" s="1"/>
  <c r="F555" i="3" l="1"/>
  <c r="B556" i="3" s="1"/>
  <c r="D556" i="3" s="1"/>
  <c r="F556" i="3" l="1"/>
  <c r="B557" i="3" s="1"/>
  <c r="D557" i="3" s="1"/>
  <c r="F557" i="3" l="1"/>
  <c r="B558" i="3" s="1"/>
  <c r="D558" i="3" s="1"/>
  <c r="F558" i="3" l="1"/>
  <c r="B559" i="3" s="1"/>
  <c r="D559" i="3" s="1"/>
  <c r="F559" i="3" l="1"/>
  <c r="B560" i="3" s="1"/>
  <c r="D560" i="3" s="1"/>
  <c r="F560" i="3" l="1"/>
  <c r="B561" i="3" s="1"/>
  <c r="D561" i="3" s="1"/>
  <c r="F561" i="3" l="1"/>
  <c r="B562" i="3" s="1"/>
  <c r="D562" i="3" s="1"/>
  <c r="F562" i="3" l="1"/>
  <c r="B563" i="3" s="1"/>
  <c r="D563" i="3" s="1"/>
  <c r="F563" i="3" l="1"/>
  <c r="B564" i="3" s="1"/>
  <c r="D564" i="3" s="1"/>
  <c r="F564" i="3" l="1"/>
  <c r="B565" i="3" s="1"/>
  <c r="D565" i="3" s="1"/>
  <c r="F565" i="3" l="1"/>
  <c r="B566" i="3" s="1"/>
  <c r="D566" i="3" s="1"/>
  <c r="F566" i="3" l="1"/>
  <c r="B567" i="3" s="1"/>
  <c r="D567" i="3" s="1"/>
  <c r="F567" i="3" l="1"/>
  <c r="B568" i="3" s="1"/>
  <c r="D568" i="3" s="1"/>
  <c r="F568" i="3" l="1"/>
  <c r="B569" i="3" s="1"/>
  <c r="D569" i="3" s="1"/>
  <c r="F569" i="3" l="1"/>
  <c r="B570" i="3" s="1"/>
  <c r="D570" i="3" s="1"/>
  <c r="F570" i="3" l="1"/>
  <c r="B571" i="3" s="1"/>
  <c r="D571" i="3" s="1"/>
  <c r="F571" i="3" l="1"/>
  <c r="B572" i="3" s="1"/>
  <c r="D572" i="3" s="1"/>
  <c r="F572" i="3" l="1"/>
  <c r="B573" i="3" s="1"/>
  <c r="D573" i="3" s="1"/>
  <c r="F573" i="3" l="1"/>
  <c r="B574" i="3" s="1"/>
  <c r="D574" i="3" s="1"/>
  <c r="F574" i="3" l="1"/>
  <c r="B575" i="3" s="1"/>
  <c r="D575" i="3" s="1"/>
  <c r="F575" i="3" l="1"/>
  <c r="B576" i="3" s="1"/>
  <c r="D576" i="3" s="1"/>
  <c r="F576" i="3" l="1"/>
  <c r="B577" i="3" s="1"/>
  <c r="D577" i="3" s="1"/>
  <c r="F577" i="3" l="1"/>
  <c r="B578" i="3" s="1"/>
  <c r="D578" i="3" s="1"/>
  <c r="F578" i="3" l="1"/>
  <c r="B579" i="3" s="1"/>
  <c r="D579" i="3" s="1"/>
  <c r="F579" i="3" l="1"/>
  <c r="B580" i="3" s="1"/>
  <c r="D580" i="3" s="1"/>
  <c r="F580" i="3" l="1"/>
  <c r="B581" i="3" s="1"/>
  <c r="D581" i="3" s="1"/>
  <c r="F581" i="3" l="1"/>
  <c r="B582" i="3" s="1"/>
  <c r="D582" i="3" s="1"/>
  <c r="F582" i="3" l="1"/>
  <c r="B583" i="3" s="1"/>
  <c r="D583" i="3" s="1"/>
  <c r="F583" i="3" l="1"/>
  <c r="B584" i="3" s="1"/>
  <c r="D584" i="3" s="1"/>
  <c r="F584" i="3" l="1"/>
  <c r="B585" i="3" s="1"/>
  <c r="D585" i="3" s="1"/>
  <c r="F585" i="3" l="1"/>
  <c r="B586" i="3" s="1"/>
  <c r="D586" i="3" s="1"/>
  <c r="F586" i="3" l="1"/>
  <c r="B587" i="3" s="1"/>
  <c r="D587" i="3" s="1"/>
  <c r="F587" i="3" l="1"/>
  <c r="B588" i="3" s="1"/>
  <c r="D588" i="3" s="1"/>
  <c r="F588" i="3" l="1"/>
  <c r="B589" i="3" s="1"/>
  <c r="D589" i="3" s="1"/>
  <c r="F589" i="3" l="1"/>
  <c r="B590" i="3" s="1"/>
  <c r="D590" i="3" s="1"/>
  <c r="F590" i="3" l="1"/>
  <c r="B591" i="3" s="1"/>
  <c r="D591" i="3" s="1"/>
  <c r="F591" i="3" l="1"/>
  <c r="B592" i="3" s="1"/>
  <c r="D592" i="3" s="1"/>
  <c r="F592" i="3" l="1"/>
  <c r="B593" i="3" s="1"/>
  <c r="D593" i="3" s="1"/>
  <c r="F593" i="3" l="1"/>
  <c r="B594" i="3" s="1"/>
  <c r="D594" i="3" s="1"/>
  <c r="F594" i="3" l="1"/>
  <c r="B595" i="3" s="1"/>
  <c r="D595" i="3" s="1"/>
  <c r="F595" i="3" l="1"/>
  <c r="B596" i="3" s="1"/>
  <c r="D596" i="3" s="1"/>
  <c r="F596" i="3" l="1"/>
  <c r="B597" i="3" s="1"/>
  <c r="D597" i="3" s="1"/>
  <c r="F597" i="3" l="1"/>
  <c r="B598" i="3" s="1"/>
  <c r="D598" i="3" s="1"/>
  <c r="F598" i="3" l="1"/>
  <c r="B599" i="3" s="1"/>
  <c r="D599" i="3" s="1"/>
  <c r="F599" i="3" l="1"/>
  <c r="B600" i="3" s="1"/>
  <c r="D600" i="3" s="1"/>
  <c r="F600" i="3" l="1"/>
  <c r="B601" i="3" s="1"/>
  <c r="D601" i="3" s="1"/>
  <c r="F601" i="3" l="1"/>
  <c r="B602" i="3" s="1"/>
  <c r="D602" i="3" s="1"/>
  <c r="F602" i="3" l="1"/>
  <c r="B603" i="3" s="1"/>
  <c r="D603" i="3" s="1"/>
  <c r="F603" i="3" l="1"/>
  <c r="B604" i="3" s="1"/>
  <c r="D604" i="3" s="1"/>
  <c r="F604" i="3" l="1"/>
  <c r="B605" i="3" s="1"/>
  <c r="D605" i="3" s="1"/>
  <c r="F605" i="3" l="1"/>
  <c r="B606" i="3" s="1"/>
  <c r="D606" i="3" s="1"/>
  <c r="F606" i="3" l="1"/>
  <c r="B607" i="3" s="1"/>
  <c r="D607" i="3" s="1"/>
  <c r="F607" i="3" l="1"/>
  <c r="B608" i="3" s="1"/>
  <c r="D608" i="3" s="1"/>
  <c r="F608" i="3" l="1"/>
  <c r="B609" i="3" s="1"/>
  <c r="D609" i="3" s="1"/>
  <c r="F609" i="3" l="1"/>
  <c r="B610" i="3" s="1"/>
  <c r="D610" i="3" s="1"/>
  <c r="F610" i="3" l="1"/>
  <c r="B611" i="3" s="1"/>
  <c r="D611" i="3" s="1"/>
  <c r="F611" i="3" l="1"/>
  <c r="B612" i="3" s="1"/>
  <c r="D612" i="3" s="1"/>
  <c r="F612" i="3" l="1"/>
  <c r="B613" i="3" s="1"/>
  <c r="D613" i="3" s="1"/>
  <c r="F613" i="3" l="1"/>
  <c r="B614" i="3" s="1"/>
  <c r="D614" i="3" s="1"/>
  <c r="F614" i="3" l="1"/>
  <c r="B615" i="3" s="1"/>
  <c r="D615" i="3" s="1"/>
  <c r="F615" i="3" l="1"/>
  <c r="B616" i="3" s="1"/>
  <c r="D616" i="3" s="1"/>
  <c r="F616" i="3" l="1"/>
  <c r="B617" i="3" s="1"/>
  <c r="D617" i="3" s="1"/>
  <c r="F617" i="3" l="1"/>
  <c r="B618" i="3" s="1"/>
  <c r="D618" i="3" s="1"/>
  <c r="F618" i="3" l="1"/>
  <c r="B619" i="3" s="1"/>
  <c r="D619" i="3" s="1"/>
  <c r="F619" i="3" l="1"/>
  <c r="B620" i="3" s="1"/>
  <c r="D620" i="3" s="1"/>
  <c r="F620" i="3" l="1"/>
  <c r="B621" i="3" s="1"/>
  <c r="D621" i="3" s="1"/>
  <c r="F621" i="3" l="1"/>
  <c r="B622" i="3" s="1"/>
  <c r="D622" i="3" s="1"/>
  <c r="F622" i="3" l="1"/>
  <c r="B623" i="3" s="1"/>
  <c r="D623" i="3" s="1"/>
  <c r="F623" i="3" l="1"/>
  <c r="B624" i="3" s="1"/>
  <c r="D624" i="3" s="1"/>
  <c r="F624" i="3" l="1"/>
  <c r="B625" i="3" s="1"/>
  <c r="D625" i="3" s="1"/>
  <c r="F625" i="3" l="1"/>
  <c r="B626" i="3" s="1"/>
  <c r="D626" i="3" s="1"/>
  <c r="F626" i="3" l="1"/>
  <c r="B627" i="3" s="1"/>
  <c r="D627" i="3" s="1"/>
  <c r="F627" i="3" l="1"/>
  <c r="B628" i="3" s="1"/>
  <c r="D628" i="3" s="1"/>
  <c r="F628" i="3" l="1"/>
  <c r="B629" i="3" s="1"/>
  <c r="D629" i="3" s="1"/>
  <c r="F629" i="3" l="1"/>
  <c r="B630" i="3" s="1"/>
  <c r="D630" i="3" s="1"/>
  <c r="F630" i="3" l="1"/>
  <c r="B631" i="3" s="1"/>
  <c r="D631" i="3" s="1"/>
  <c r="F631" i="3" l="1"/>
  <c r="B632" i="3" s="1"/>
  <c r="D632" i="3" s="1"/>
  <c r="F632" i="3" l="1"/>
  <c r="B633" i="3" s="1"/>
  <c r="D633" i="3" s="1"/>
  <c r="F633" i="3" l="1"/>
  <c r="B634" i="3" s="1"/>
  <c r="D634" i="3" s="1"/>
  <c r="F634" i="3" l="1"/>
  <c r="B635" i="3" s="1"/>
  <c r="D635" i="3" s="1"/>
  <c r="F635" i="3" l="1"/>
  <c r="B636" i="3" s="1"/>
  <c r="D636" i="3" s="1"/>
  <c r="F636" i="3" l="1"/>
  <c r="B637" i="3" s="1"/>
  <c r="D637" i="3" s="1"/>
  <c r="F637" i="3" l="1"/>
  <c r="B638" i="3" s="1"/>
  <c r="D638" i="3" s="1"/>
  <c r="F638" i="3" l="1"/>
  <c r="B639" i="3" s="1"/>
  <c r="D639" i="3" s="1"/>
  <c r="F639" i="3" l="1"/>
  <c r="B640" i="3" s="1"/>
  <c r="D640" i="3" s="1"/>
  <c r="F640" i="3" l="1"/>
  <c r="B641" i="3" s="1"/>
  <c r="D641" i="3" s="1"/>
  <c r="F641" i="3" l="1"/>
  <c r="B642" i="3" s="1"/>
  <c r="D642" i="3" s="1"/>
  <c r="F642" i="3" l="1"/>
  <c r="B643" i="3" s="1"/>
  <c r="D643" i="3" s="1"/>
  <c r="F643" i="3" l="1"/>
  <c r="B644" i="3" s="1"/>
  <c r="D644" i="3" s="1"/>
  <c r="F644" i="3" l="1"/>
  <c r="B645" i="3" s="1"/>
  <c r="D645" i="3" s="1"/>
  <c r="F645" i="3" l="1"/>
  <c r="B646" i="3" s="1"/>
  <c r="D646" i="3" s="1"/>
  <c r="F646" i="3" l="1"/>
  <c r="B647" i="3" s="1"/>
  <c r="D647" i="3" s="1"/>
  <c r="F647" i="3" l="1"/>
  <c r="B648" i="3" s="1"/>
  <c r="D648" i="3" s="1"/>
  <c r="F648" i="3" l="1"/>
  <c r="B649" i="3" s="1"/>
  <c r="D649" i="3" s="1"/>
  <c r="F649" i="3" l="1"/>
  <c r="B650" i="3" s="1"/>
  <c r="D650" i="3" s="1"/>
  <c r="F650" i="3" l="1"/>
  <c r="B651" i="3" s="1"/>
  <c r="D651" i="3" s="1"/>
  <c r="F651" i="3" l="1"/>
  <c r="B652" i="3" s="1"/>
  <c r="D652" i="3" s="1"/>
  <c r="F652" i="3" l="1"/>
  <c r="B653" i="3" s="1"/>
  <c r="D653" i="3" s="1"/>
  <c r="F653" i="3" l="1"/>
  <c r="B654" i="3" s="1"/>
  <c r="D654" i="3" s="1"/>
  <c r="F654" i="3" l="1"/>
  <c r="B655" i="3" s="1"/>
  <c r="D655" i="3" s="1"/>
  <c r="F655" i="3" l="1"/>
  <c r="B656" i="3" s="1"/>
  <c r="D656" i="3" s="1"/>
  <c r="F656" i="3" l="1"/>
  <c r="B657" i="3" s="1"/>
  <c r="D657" i="3" s="1"/>
  <c r="F657" i="3" l="1"/>
  <c r="B658" i="3" s="1"/>
  <c r="D658" i="3" s="1"/>
  <c r="F658" i="3" l="1"/>
  <c r="B659" i="3" s="1"/>
  <c r="D659" i="3" s="1"/>
  <c r="F659" i="3" l="1"/>
  <c r="B660" i="3" s="1"/>
  <c r="D660" i="3" s="1"/>
  <c r="F660" i="3" l="1"/>
  <c r="B661" i="3" s="1"/>
  <c r="D661" i="3" s="1"/>
  <c r="F661" i="3" l="1"/>
  <c r="B662" i="3" s="1"/>
  <c r="D662" i="3" s="1"/>
  <c r="F662" i="3" l="1"/>
  <c r="B663" i="3" s="1"/>
  <c r="D663" i="3" s="1"/>
  <c r="F663" i="3" l="1"/>
  <c r="B664" i="3" s="1"/>
  <c r="D664" i="3" s="1"/>
  <c r="F664" i="3" l="1"/>
  <c r="B665" i="3" s="1"/>
  <c r="D665" i="3" s="1"/>
  <c r="F665" i="3" l="1"/>
  <c r="B666" i="3" s="1"/>
  <c r="D666" i="3" s="1"/>
  <c r="F666" i="3" l="1"/>
  <c r="B667" i="3" s="1"/>
  <c r="D667" i="3" s="1"/>
  <c r="F667" i="3" l="1"/>
  <c r="B668" i="3" s="1"/>
  <c r="D668" i="3" s="1"/>
  <c r="F668" i="3" l="1"/>
  <c r="B669" i="3" s="1"/>
  <c r="D669" i="3" s="1"/>
  <c r="F669" i="3" l="1"/>
  <c r="B670" i="3" s="1"/>
  <c r="D670" i="3" s="1"/>
  <c r="F670" i="3" l="1"/>
  <c r="B671" i="3" s="1"/>
  <c r="D671" i="3" s="1"/>
  <c r="F671" i="3" l="1"/>
  <c r="B672" i="3" s="1"/>
  <c r="D672" i="3" s="1"/>
  <c r="F672" i="3" l="1"/>
  <c r="B673" i="3" s="1"/>
  <c r="D673" i="3" s="1"/>
  <c r="F673" i="3" l="1"/>
  <c r="B674" i="3" s="1"/>
  <c r="D674" i="3" s="1"/>
  <c r="F674" i="3" l="1"/>
  <c r="B675" i="3" s="1"/>
  <c r="D675" i="3" s="1"/>
  <c r="F675" i="3" l="1"/>
  <c r="B676" i="3" s="1"/>
  <c r="D676" i="3" s="1"/>
  <c r="F676" i="3" l="1"/>
  <c r="B677" i="3" s="1"/>
  <c r="D677" i="3" s="1"/>
  <c r="F677" i="3" l="1"/>
  <c r="B678" i="3" s="1"/>
  <c r="D678" i="3" s="1"/>
  <c r="F678" i="3" l="1"/>
  <c r="B679" i="3" s="1"/>
  <c r="D679" i="3" s="1"/>
  <c r="F679" i="3" l="1"/>
  <c r="B680" i="3" s="1"/>
  <c r="D680" i="3" s="1"/>
  <c r="F680" i="3" l="1"/>
  <c r="B681" i="3" s="1"/>
  <c r="D681" i="3" s="1"/>
  <c r="F681" i="3" l="1"/>
  <c r="B682" i="3" s="1"/>
  <c r="D682" i="3" s="1"/>
  <c r="F682" i="3" l="1"/>
  <c r="B683" i="3" s="1"/>
  <c r="D683" i="3" s="1"/>
  <c r="F683" i="3" l="1"/>
  <c r="B684" i="3" s="1"/>
  <c r="D684" i="3" s="1"/>
  <c r="F684" i="3" l="1"/>
  <c r="B685" i="3" s="1"/>
  <c r="D685" i="3" s="1"/>
  <c r="F685" i="3" l="1"/>
  <c r="B686" i="3" s="1"/>
  <c r="D686" i="3" s="1"/>
  <c r="F686" i="3" l="1"/>
  <c r="B687" i="3" s="1"/>
  <c r="D687" i="3" s="1"/>
  <c r="F687" i="3" l="1"/>
  <c r="B688" i="3" s="1"/>
  <c r="D688" i="3" s="1"/>
  <c r="F688" i="3" l="1"/>
  <c r="B689" i="3" s="1"/>
  <c r="D689" i="3" s="1"/>
  <c r="F689" i="3" l="1"/>
  <c r="B690" i="3" s="1"/>
  <c r="D690" i="3" s="1"/>
  <c r="F690" i="3" l="1"/>
  <c r="B691" i="3" s="1"/>
  <c r="D691" i="3" s="1"/>
  <c r="F691" i="3" l="1"/>
  <c r="B692" i="3" s="1"/>
  <c r="D692" i="3" s="1"/>
  <c r="F692" i="3" l="1"/>
  <c r="B693" i="3" s="1"/>
  <c r="D693" i="3" s="1"/>
  <c r="F693" i="3" l="1"/>
  <c r="B694" i="3" s="1"/>
  <c r="D694" i="3" s="1"/>
  <c r="F694" i="3" l="1"/>
  <c r="B695" i="3" s="1"/>
  <c r="D695" i="3" s="1"/>
  <c r="F695" i="3" l="1"/>
  <c r="B696" i="3" s="1"/>
  <c r="D696" i="3" s="1"/>
  <c r="F696" i="3" l="1"/>
  <c r="B697" i="3" s="1"/>
  <c r="D697" i="3" s="1"/>
  <c r="F697" i="3" l="1"/>
  <c r="B698" i="3" s="1"/>
  <c r="D698" i="3" s="1"/>
  <c r="F698" i="3" l="1"/>
  <c r="B699" i="3" s="1"/>
  <c r="D699" i="3" s="1"/>
  <c r="F699" i="3" l="1"/>
  <c r="B700" i="3" s="1"/>
  <c r="D700" i="3" s="1"/>
  <c r="F700" i="3" l="1"/>
  <c r="B701" i="3" s="1"/>
  <c r="D701" i="3" s="1"/>
  <c r="F701" i="3" l="1"/>
  <c r="B702" i="3" s="1"/>
  <c r="D702" i="3" s="1"/>
  <c r="F702" i="3" l="1"/>
  <c r="B703" i="3" s="1"/>
  <c r="D703" i="3" s="1"/>
  <c r="F703" i="3" l="1"/>
  <c r="B704" i="3" s="1"/>
  <c r="D704" i="3" s="1"/>
  <c r="F704" i="3" l="1"/>
  <c r="B705" i="3" s="1"/>
  <c r="D705" i="3" s="1"/>
  <c r="F705" i="3" l="1"/>
  <c r="B706" i="3" s="1"/>
  <c r="D706" i="3" s="1"/>
  <c r="F706" i="3" l="1"/>
  <c r="B707" i="3" s="1"/>
  <c r="D707" i="3" s="1"/>
  <c r="F707" i="3" l="1"/>
  <c r="B708" i="3" s="1"/>
  <c r="D708" i="3" s="1"/>
  <c r="F708" i="3" l="1"/>
  <c r="B709" i="3" s="1"/>
  <c r="D709" i="3" s="1"/>
  <c r="F709" i="3" l="1"/>
  <c r="B710" i="3" s="1"/>
  <c r="D710" i="3" s="1"/>
  <c r="F710" i="3" l="1"/>
  <c r="B711" i="3" s="1"/>
  <c r="D711" i="3" s="1"/>
  <c r="F711" i="3" l="1"/>
  <c r="B712" i="3" s="1"/>
  <c r="D712" i="3" s="1"/>
  <c r="F712" i="3" l="1"/>
  <c r="B713" i="3" s="1"/>
  <c r="D713" i="3" s="1"/>
  <c r="F713" i="3" l="1"/>
  <c r="B714" i="3" s="1"/>
  <c r="D714" i="3" s="1"/>
  <c r="F714" i="3" l="1"/>
  <c r="B715" i="3" s="1"/>
  <c r="D715" i="3" s="1"/>
  <c r="F715" i="3" l="1"/>
  <c r="B716" i="3" s="1"/>
  <c r="D716" i="3" s="1"/>
  <c r="F716" i="3" l="1"/>
  <c r="B717" i="3" s="1"/>
  <c r="D717" i="3" s="1"/>
  <c r="F717" i="3" l="1"/>
  <c r="B718" i="3" s="1"/>
  <c r="D718" i="3" s="1"/>
  <c r="F718" i="3" l="1"/>
  <c r="B719" i="3" s="1"/>
  <c r="D719" i="3" s="1"/>
  <c r="F719" i="3" l="1"/>
  <c r="B720" i="3" s="1"/>
  <c r="D720" i="3" s="1"/>
  <c r="F720" i="3" l="1"/>
  <c r="B721" i="3" s="1"/>
  <c r="D721" i="3" s="1"/>
  <c r="F721" i="3" l="1"/>
  <c r="B722" i="3" s="1"/>
  <c r="D722" i="3" s="1"/>
  <c r="F722" i="3" l="1"/>
  <c r="B723" i="3" s="1"/>
  <c r="D723" i="3" s="1"/>
  <c r="F723" i="3" l="1"/>
  <c r="B724" i="3" s="1"/>
  <c r="D724" i="3" s="1"/>
  <c r="F724" i="3" l="1"/>
  <c r="B725" i="3" s="1"/>
  <c r="D725" i="3" s="1"/>
  <c r="F725" i="3" l="1"/>
  <c r="B726" i="3" s="1"/>
  <c r="D726" i="3" s="1"/>
  <c r="F726" i="3" l="1"/>
  <c r="B727" i="3" s="1"/>
  <c r="D727" i="3" s="1"/>
  <c r="F727" i="3" l="1"/>
  <c r="B728" i="3" s="1"/>
  <c r="D728" i="3" s="1"/>
  <c r="F728" i="3" l="1"/>
  <c r="B729" i="3" s="1"/>
  <c r="D729" i="3" s="1"/>
  <c r="F729" i="3" l="1"/>
  <c r="B730" i="3" s="1"/>
  <c r="D730" i="3" s="1"/>
  <c r="F730" i="3" l="1"/>
  <c r="B731" i="3" s="1"/>
  <c r="D731" i="3" s="1"/>
  <c r="F731" i="3" l="1"/>
  <c r="B732" i="3" s="1"/>
  <c r="D732" i="3" s="1"/>
  <c r="F732" i="3" l="1"/>
  <c r="B733" i="3" s="1"/>
  <c r="D733" i="3" s="1"/>
  <c r="F733" i="3" l="1"/>
  <c r="B734" i="3" s="1"/>
  <c r="D734" i="3" s="1"/>
  <c r="F734" i="3" l="1"/>
  <c r="B735" i="3" s="1"/>
  <c r="D735" i="3" s="1"/>
  <c r="F735" i="3" l="1"/>
  <c r="B736" i="3" s="1"/>
  <c r="D736" i="3" s="1"/>
  <c r="F736" i="3" l="1"/>
  <c r="B737" i="3" s="1"/>
  <c r="D737" i="3" s="1"/>
  <c r="F737" i="3" l="1"/>
  <c r="B738" i="3" s="1"/>
  <c r="D738" i="3" s="1"/>
  <c r="F738" i="3" l="1"/>
  <c r="B739" i="3" s="1"/>
  <c r="D739" i="3" s="1"/>
  <c r="F739" i="3" l="1"/>
  <c r="B740" i="3" s="1"/>
  <c r="D740" i="3" s="1"/>
  <c r="F740" i="3" l="1"/>
  <c r="B741" i="3" s="1"/>
  <c r="D741" i="3" s="1"/>
  <c r="F741" i="3" l="1"/>
  <c r="B742" i="3" s="1"/>
  <c r="D742" i="3" s="1"/>
  <c r="F742" i="3" l="1"/>
  <c r="B743" i="3" s="1"/>
  <c r="D743" i="3" s="1"/>
  <c r="F743" i="3" l="1"/>
  <c r="B744" i="3" s="1"/>
  <c r="D744" i="3" s="1"/>
  <c r="F744" i="3" l="1"/>
  <c r="B745" i="3" s="1"/>
  <c r="D745" i="3" s="1"/>
  <c r="F745" i="3" l="1"/>
  <c r="B746" i="3" s="1"/>
  <c r="D746" i="3" s="1"/>
  <c r="F746" i="3" l="1"/>
  <c r="B747" i="3" s="1"/>
  <c r="D747" i="3" s="1"/>
  <c r="F747" i="3" l="1"/>
  <c r="B748" i="3" s="1"/>
  <c r="D748" i="3" s="1"/>
  <c r="F748" i="3" l="1"/>
  <c r="B749" i="3" s="1"/>
  <c r="D749" i="3" s="1"/>
  <c r="F749" i="3" l="1"/>
  <c r="B750" i="3" s="1"/>
  <c r="D750" i="3" s="1"/>
  <c r="F750" i="3" l="1"/>
  <c r="B751" i="3" s="1"/>
  <c r="D751" i="3" s="1"/>
  <c r="F751" i="3" l="1"/>
  <c r="B752" i="3" s="1"/>
  <c r="D752" i="3" s="1"/>
  <c r="F752" i="3" l="1"/>
  <c r="B753" i="3" s="1"/>
  <c r="D753" i="3" s="1"/>
  <c r="F753" i="3" l="1"/>
  <c r="B754" i="3" s="1"/>
  <c r="D754" i="3" s="1"/>
  <c r="F754" i="3" l="1"/>
  <c r="B755" i="3" s="1"/>
  <c r="D755" i="3" s="1"/>
  <c r="F755" i="3" l="1"/>
  <c r="B756" i="3" s="1"/>
  <c r="D756" i="3" s="1"/>
  <c r="F756" i="3" l="1"/>
  <c r="B757" i="3" s="1"/>
  <c r="D757" i="3" s="1"/>
  <c r="F757" i="3" l="1"/>
  <c r="B758" i="3" s="1"/>
  <c r="D758" i="3" s="1"/>
  <c r="F758" i="3" l="1"/>
  <c r="B759" i="3" s="1"/>
  <c r="D759" i="3" s="1"/>
  <c r="F759" i="3" l="1"/>
  <c r="B760" i="3" s="1"/>
  <c r="D760" i="3" s="1"/>
  <c r="F760" i="3" l="1"/>
  <c r="B761" i="3" s="1"/>
  <c r="D761" i="3" s="1"/>
  <c r="F761" i="3" l="1"/>
  <c r="B762" i="3" s="1"/>
  <c r="D762" i="3" s="1"/>
  <c r="F762" i="3" l="1"/>
  <c r="B763" i="3" s="1"/>
  <c r="D763" i="3" s="1"/>
  <c r="F763" i="3" l="1"/>
  <c r="B764" i="3" s="1"/>
  <c r="D764" i="3" s="1"/>
  <c r="F764" i="3" l="1"/>
  <c r="B765" i="3" s="1"/>
  <c r="D765" i="3" s="1"/>
  <c r="F765" i="3" l="1"/>
  <c r="B766" i="3" s="1"/>
  <c r="D766" i="3" s="1"/>
  <c r="F766" i="3" l="1"/>
  <c r="B767" i="3" s="1"/>
  <c r="D767" i="3" s="1"/>
  <c r="F767" i="3" l="1"/>
  <c r="B768" i="3" s="1"/>
  <c r="D768" i="3" s="1"/>
  <c r="F768" i="3" l="1"/>
  <c r="B769" i="3" s="1"/>
  <c r="D769" i="3" s="1"/>
  <c r="F769" i="3" l="1"/>
  <c r="B770" i="3" s="1"/>
  <c r="D770" i="3" s="1"/>
  <c r="F770" i="3" l="1"/>
  <c r="B771" i="3" s="1"/>
  <c r="D771" i="3" s="1"/>
  <c r="F771" i="3" l="1"/>
  <c r="B772" i="3" s="1"/>
  <c r="D772" i="3" s="1"/>
  <c r="F772" i="3" l="1"/>
  <c r="B773" i="3" s="1"/>
  <c r="D773" i="3" s="1"/>
  <c r="F773" i="3" l="1"/>
  <c r="B774" i="3" s="1"/>
  <c r="D774" i="3" s="1"/>
  <c r="F774" i="3" l="1"/>
  <c r="B775" i="3" s="1"/>
  <c r="D775" i="3" s="1"/>
  <c r="F775" i="3" l="1"/>
  <c r="B776" i="3" s="1"/>
  <c r="D776" i="3" s="1"/>
  <c r="F776" i="3" l="1"/>
  <c r="B777" i="3" s="1"/>
  <c r="D777" i="3" s="1"/>
  <c r="F777" i="3" l="1"/>
  <c r="B778" i="3" s="1"/>
  <c r="D778" i="3" s="1"/>
  <c r="F778" i="3" l="1"/>
  <c r="B779" i="3" s="1"/>
  <c r="D779" i="3" s="1"/>
  <c r="F779" i="3" l="1"/>
  <c r="B780" i="3" s="1"/>
  <c r="D780" i="3" s="1"/>
  <c r="F780" i="3" l="1"/>
  <c r="B781" i="3" s="1"/>
  <c r="D781" i="3" s="1"/>
  <c r="F781" i="3" l="1"/>
  <c r="B782" i="3" s="1"/>
  <c r="D782" i="3" s="1"/>
  <c r="F782" i="3" l="1"/>
  <c r="B783" i="3" s="1"/>
  <c r="D783" i="3" s="1"/>
  <c r="F783" i="3" l="1"/>
  <c r="B784" i="3" s="1"/>
  <c r="D784" i="3" s="1"/>
  <c r="F784" i="3" l="1"/>
  <c r="B785" i="3" s="1"/>
  <c r="D785" i="3" s="1"/>
  <c r="F785" i="3" l="1"/>
  <c r="B786" i="3" s="1"/>
  <c r="D786" i="3" s="1"/>
  <c r="F786" i="3" l="1"/>
  <c r="B787" i="3" s="1"/>
  <c r="D787" i="3" s="1"/>
  <c r="F787" i="3" l="1"/>
  <c r="B788" i="3" s="1"/>
  <c r="D788" i="3" s="1"/>
  <c r="F788" i="3" l="1"/>
  <c r="B789" i="3" s="1"/>
  <c r="D789" i="3" s="1"/>
  <c r="F789" i="3" l="1"/>
  <c r="B790" i="3" s="1"/>
  <c r="D790" i="3" s="1"/>
  <c r="F790" i="3" l="1"/>
  <c r="B791" i="3" s="1"/>
  <c r="D791" i="3" s="1"/>
  <c r="F791" i="3" l="1"/>
  <c r="B792" i="3" s="1"/>
  <c r="D792" i="3" s="1"/>
  <c r="F792" i="3" l="1"/>
  <c r="B793" i="3" s="1"/>
  <c r="D793" i="3" s="1"/>
  <c r="F793" i="3" l="1"/>
  <c r="B794" i="3" s="1"/>
  <c r="D794" i="3" s="1"/>
  <c r="F794" i="3" l="1"/>
  <c r="B795" i="3" s="1"/>
  <c r="D795" i="3" s="1"/>
  <c r="F795" i="3" l="1"/>
  <c r="B796" i="3" s="1"/>
  <c r="D796" i="3" s="1"/>
  <c r="F796" i="3" l="1"/>
  <c r="B797" i="3" s="1"/>
  <c r="D797" i="3" s="1"/>
  <c r="F797" i="3" l="1"/>
  <c r="B798" i="3" s="1"/>
  <c r="D798" i="3" s="1"/>
  <c r="F798" i="3" l="1"/>
  <c r="B799" i="3" s="1"/>
  <c r="D799" i="3" s="1"/>
  <c r="F799" i="3" l="1"/>
  <c r="B800" i="3" s="1"/>
  <c r="D800" i="3" s="1"/>
  <c r="F800" i="3" l="1"/>
  <c r="B801" i="3" s="1"/>
  <c r="D801" i="3" s="1"/>
  <c r="F801" i="3" l="1"/>
  <c r="B802" i="3" s="1"/>
  <c r="D802" i="3" s="1"/>
  <c r="F802" i="3" l="1"/>
  <c r="B803" i="3" s="1"/>
  <c r="D803" i="3" s="1"/>
  <c r="F803" i="3" l="1"/>
  <c r="B804" i="3" s="1"/>
  <c r="D804" i="3" s="1"/>
  <c r="F804" i="3" l="1"/>
  <c r="B805" i="3" s="1"/>
  <c r="D805" i="3" s="1"/>
  <c r="F805" i="3" l="1"/>
  <c r="B806" i="3" s="1"/>
  <c r="D806" i="3" s="1"/>
  <c r="F806" i="3" l="1"/>
  <c r="B807" i="3" s="1"/>
  <c r="D807" i="3" s="1"/>
  <c r="F807" i="3" l="1"/>
  <c r="B808" i="3" s="1"/>
  <c r="D808" i="3" s="1"/>
  <c r="F808" i="3" l="1"/>
  <c r="B809" i="3" s="1"/>
  <c r="D809" i="3" s="1"/>
  <c r="F809" i="3" l="1"/>
  <c r="B810" i="3" s="1"/>
  <c r="D810" i="3" s="1"/>
  <c r="F810" i="3" l="1"/>
  <c r="B811" i="3" s="1"/>
  <c r="D811" i="3" s="1"/>
  <c r="F811" i="3" l="1"/>
  <c r="B812" i="3" s="1"/>
  <c r="D812" i="3" s="1"/>
  <c r="F812" i="3" l="1"/>
  <c r="B813" i="3" s="1"/>
  <c r="D813" i="3" s="1"/>
  <c r="F813" i="3" l="1"/>
  <c r="B814" i="3" s="1"/>
  <c r="D814" i="3" s="1"/>
  <c r="F814" i="3" l="1"/>
  <c r="B815" i="3" s="1"/>
  <c r="D815" i="3" s="1"/>
  <c r="F815" i="3" l="1"/>
  <c r="B816" i="3" s="1"/>
  <c r="D816" i="3" s="1"/>
  <c r="F816" i="3" l="1"/>
  <c r="B817" i="3" s="1"/>
  <c r="D817" i="3" s="1"/>
  <c r="F817" i="3" l="1"/>
  <c r="B818" i="3" s="1"/>
  <c r="D818" i="3" s="1"/>
  <c r="F818" i="3" l="1"/>
  <c r="B819" i="3" s="1"/>
  <c r="D819" i="3" s="1"/>
  <c r="F819" i="3" l="1"/>
  <c r="B820" i="3" s="1"/>
  <c r="D820" i="3" s="1"/>
  <c r="F820" i="3" l="1"/>
  <c r="B821" i="3" s="1"/>
  <c r="D821" i="3" s="1"/>
  <c r="F821" i="3" l="1"/>
  <c r="B822" i="3" s="1"/>
  <c r="D822" i="3" s="1"/>
  <c r="F822" i="3" l="1"/>
  <c r="B823" i="3" s="1"/>
  <c r="D823" i="3" s="1"/>
  <c r="F823" i="3" l="1"/>
  <c r="B824" i="3" s="1"/>
  <c r="D824" i="3" s="1"/>
  <c r="F824" i="3" l="1"/>
  <c r="B825" i="3" s="1"/>
  <c r="D825" i="3" s="1"/>
  <c r="F825" i="3" l="1"/>
  <c r="B826" i="3" s="1"/>
  <c r="D826" i="3" s="1"/>
  <c r="F826" i="3" l="1"/>
  <c r="B827" i="3" s="1"/>
  <c r="D827" i="3" s="1"/>
  <c r="F827" i="3" l="1"/>
  <c r="B828" i="3" s="1"/>
  <c r="D828" i="3" s="1"/>
  <c r="F828" i="3" l="1"/>
  <c r="B829" i="3" s="1"/>
  <c r="D829" i="3" s="1"/>
  <c r="F829" i="3" l="1"/>
  <c r="B830" i="3" s="1"/>
  <c r="D830" i="3" s="1"/>
  <c r="F830" i="3" l="1"/>
  <c r="B831" i="3" s="1"/>
  <c r="D831" i="3" s="1"/>
  <c r="F831" i="3" l="1"/>
  <c r="B832" i="3" s="1"/>
  <c r="D832" i="3" s="1"/>
  <c r="F832" i="3" l="1"/>
  <c r="B833" i="3" s="1"/>
  <c r="D833" i="3" s="1"/>
  <c r="F833" i="3" l="1"/>
  <c r="B834" i="3" s="1"/>
  <c r="D834" i="3" s="1"/>
  <c r="F834" i="3" l="1"/>
  <c r="B835" i="3" s="1"/>
  <c r="D835" i="3" s="1"/>
  <c r="F835" i="3" l="1"/>
  <c r="B836" i="3" s="1"/>
  <c r="D836" i="3" s="1"/>
  <c r="F836" i="3" l="1"/>
  <c r="B837" i="3" s="1"/>
  <c r="D837" i="3" s="1"/>
  <c r="F837" i="3" l="1"/>
  <c r="B838" i="3" s="1"/>
  <c r="D838" i="3" s="1"/>
  <c r="F838" i="3" l="1"/>
  <c r="B839" i="3" s="1"/>
  <c r="D839" i="3" s="1"/>
  <c r="F839" i="3" l="1"/>
  <c r="B840" i="3" s="1"/>
  <c r="D840" i="3" s="1"/>
  <c r="F840" i="3" l="1"/>
  <c r="B841" i="3" s="1"/>
  <c r="D841" i="3" s="1"/>
  <c r="F841" i="3" l="1"/>
  <c r="B842" i="3" s="1"/>
  <c r="D842" i="3" s="1"/>
  <c r="F842" i="3" l="1"/>
  <c r="B843" i="3" s="1"/>
  <c r="D843" i="3" s="1"/>
  <c r="F843" i="3" l="1"/>
  <c r="B844" i="3" s="1"/>
  <c r="D844" i="3" s="1"/>
  <c r="F844" i="3" l="1"/>
  <c r="B845" i="3" s="1"/>
  <c r="D845" i="3" s="1"/>
  <c r="F845" i="3" l="1"/>
  <c r="B846" i="3" s="1"/>
  <c r="D846" i="3" s="1"/>
  <c r="F846" i="3" l="1"/>
  <c r="B847" i="3" s="1"/>
  <c r="D847" i="3" s="1"/>
  <c r="F847" i="3" l="1"/>
  <c r="B848" i="3" s="1"/>
  <c r="D848" i="3" s="1"/>
  <c r="F848" i="3" l="1"/>
  <c r="B849" i="3" s="1"/>
  <c r="D849" i="3" s="1"/>
  <c r="F849" i="3" l="1"/>
  <c r="B850" i="3" s="1"/>
  <c r="D850" i="3" s="1"/>
  <c r="F850" i="3" l="1"/>
  <c r="B851" i="3" s="1"/>
  <c r="D851" i="3" s="1"/>
  <c r="F851" i="3" l="1"/>
  <c r="B852" i="3" s="1"/>
  <c r="D852" i="3" s="1"/>
  <c r="F852" i="3" l="1"/>
  <c r="B853" i="3" s="1"/>
  <c r="D853" i="3" s="1"/>
  <c r="F853" i="3" l="1"/>
  <c r="B854" i="3" s="1"/>
  <c r="D854" i="3" s="1"/>
  <c r="F854" i="3" l="1"/>
  <c r="B855" i="3" s="1"/>
  <c r="D855" i="3" s="1"/>
  <c r="F855" i="3" l="1"/>
  <c r="B856" i="3" s="1"/>
  <c r="D856" i="3" s="1"/>
  <c r="F856" i="3" l="1"/>
  <c r="B857" i="3" s="1"/>
  <c r="D857" i="3" s="1"/>
  <c r="F857" i="3" l="1"/>
  <c r="B858" i="3" s="1"/>
  <c r="D858" i="3" s="1"/>
  <c r="F858" i="3" l="1"/>
  <c r="B859" i="3" s="1"/>
  <c r="D859" i="3" s="1"/>
  <c r="F859" i="3" l="1"/>
  <c r="B860" i="3" s="1"/>
  <c r="D860" i="3" s="1"/>
  <c r="F860" i="3" l="1"/>
  <c r="B861" i="3" s="1"/>
  <c r="D861" i="3" s="1"/>
  <c r="F861" i="3" l="1"/>
  <c r="B862" i="3" s="1"/>
  <c r="D862" i="3" s="1"/>
  <c r="F862" i="3" l="1"/>
  <c r="B863" i="3" s="1"/>
  <c r="D863" i="3" s="1"/>
  <c r="F863" i="3" l="1"/>
  <c r="B864" i="3" s="1"/>
  <c r="D864" i="3" s="1"/>
  <c r="F864" i="3" l="1"/>
  <c r="B865" i="3" s="1"/>
  <c r="D865" i="3" s="1"/>
  <c r="F865" i="3" l="1"/>
  <c r="B866" i="3" s="1"/>
  <c r="D866" i="3" s="1"/>
  <c r="F866" i="3" l="1"/>
  <c r="B867" i="3" s="1"/>
  <c r="D867" i="3" s="1"/>
  <c r="F867" i="3" l="1"/>
  <c r="B868" i="3" s="1"/>
  <c r="D868" i="3" s="1"/>
  <c r="F868" i="3" l="1"/>
  <c r="B869" i="3" s="1"/>
  <c r="D869" i="3" s="1"/>
  <c r="F869" i="3" l="1"/>
  <c r="B870" i="3" s="1"/>
  <c r="D870" i="3" s="1"/>
  <c r="F870" i="3" l="1"/>
</calcChain>
</file>

<file path=xl/sharedStrings.xml><?xml version="1.0" encoding="utf-8"?>
<sst xmlns="http://schemas.openxmlformats.org/spreadsheetml/2006/main" count="351" uniqueCount="69">
  <si>
    <t>Дата</t>
  </si>
  <si>
    <t xml:space="preserve">Источник </t>
  </si>
  <si>
    <t>Тип</t>
  </si>
  <si>
    <t>Сумма</t>
  </si>
  <si>
    <t>Валюта</t>
  </si>
  <si>
    <t>Зарплата</t>
  </si>
  <si>
    <t>Пост</t>
  </si>
  <si>
    <t>манат</t>
  </si>
  <si>
    <t>Месяц</t>
  </si>
  <si>
    <t>Процент в конце</t>
  </si>
  <si>
    <t>Вложенная сумма</t>
  </si>
  <si>
    <t>Сумма в конце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</si>
  <si>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</si>
  <si>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</si>
  <si>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</si>
  <si>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</si>
  <si>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</si>
  <si>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</si>
  <si>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</si>
  <si>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</si>
  <si>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</si>
  <si>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</si>
  <si>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</si>
  <si>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Платёж</t>
  </si>
  <si>
    <t>Остаток на начало дня</t>
  </si>
  <si>
    <t>Дневная ставка</t>
  </si>
  <si>
    <t>Проценты за день</t>
  </si>
  <si>
    <t>Остаток на конец дня</t>
  </si>
  <si>
    <t>Снятие</t>
  </si>
  <si>
    <t>Январь 2026</t>
  </si>
  <si>
    <t>Январь 2027</t>
  </si>
  <si>
    <t>Январь 2028</t>
  </si>
  <si>
    <t>Январь 2029</t>
  </si>
  <si>
    <t>Январь 2030</t>
  </si>
  <si>
    <t>Январь 2031</t>
  </si>
  <si>
    <t>Январь 2032</t>
  </si>
  <si>
    <t>Январь 2033</t>
  </si>
  <si>
    <t>Январь 2034</t>
  </si>
  <si>
    <t>Январь 2035</t>
  </si>
  <si>
    <t>Январь 2036</t>
  </si>
  <si>
    <t>Январь 2037</t>
  </si>
  <si>
    <t>Январь 2038</t>
  </si>
  <si>
    <t>Column1</t>
  </si>
  <si>
    <t>Январь 2039</t>
  </si>
  <si>
    <t>Column2</t>
  </si>
  <si>
    <t>Года</t>
  </si>
  <si>
    <t>Предпологаемая моя зп</t>
  </si>
  <si>
    <t>Оплата</t>
  </si>
  <si>
    <t>Оплата по банку</t>
  </si>
  <si>
    <t>Остаточная сумма</t>
  </si>
  <si>
    <t>Остаточная сумма по банку</t>
  </si>
  <si>
    <t>Свободные деньги</t>
  </si>
  <si>
    <t>Название</t>
  </si>
  <si>
    <t>Кредит</t>
  </si>
  <si>
    <t>Телефон</t>
  </si>
  <si>
    <t>Дом</t>
  </si>
  <si>
    <t>Отложенные</t>
  </si>
  <si>
    <t>Проезд</t>
  </si>
  <si>
    <t>Чат</t>
  </si>
  <si>
    <t>Бьюти</t>
  </si>
  <si>
    <t>Связь</t>
  </si>
  <si>
    <t>Спорт</t>
  </si>
  <si>
    <t>Еда</t>
  </si>
  <si>
    <t>Стоимость</t>
  </si>
  <si>
    <t>Билет Стамбул</t>
  </si>
  <si>
    <t>Отель Стамбул</t>
  </si>
  <si>
    <t>27.06-04.07</t>
  </si>
  <si>
    <t>Билет Париж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</si>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</sst>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1" fillId="0" borderId="0" xfId="0" applyFont="1" applyAlignment="1">
      <alignment horizontal="center" vertical="center"/>
    </xf>
    <xf numFmtId="14" fontId="0" fillId="0" borderId="0" xfId="0" applyNumberFormat="1"/>
    <xf numFmtId="1" fontId="0" fillId="0" borderId="0" xfId="0" applyNumberFormat="1"/>
    <xf numFmtId="0" fontId="0" fillId="2" borderId="0" xfId="0" applyFill="1"/>
  </cellXfs>
  <cellStyles count="1">
    <cellStyle name="Normal" xfId="0" builtinId="0"/>
  </cellStyles>
  <dxfs count="13"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ACDB53-B498-48C6-9DA4-9C16F612A4FA}" name="Table2" displayName="Table2" ref="A1:E25" totalsRowShown="0">
  <autoFilter ref="A1:E25" xr:uid="{C3ACDB53-B498-48C6-9DA4-9C16F612A4FA}"/>
  <tableColumns count="5">
    <tableColumn id="1" xr3:uid="{9159F85C-8ACD-4C78-9CAC-933A751783D2}" name="Дата"/>
    <tableColumn id="2" xr3:uid="{29ACADC7-B111-40A2-8D26-CC42DD56021C}" name="Источник "/>
    <tableColumn id="3" xr3:uid="{E934E84C-F96C-494F-8B3D-83397DC7E381}" name="Тип"/>
    <tableColumn id="4" xr3:uid="{EDA36C06-0C11-4D28-B268-E3278336B13F}" name="Сумма"/>
    <tableColumn id="5" xr3:uid="{645B3FB5-2B14-4CFE-BC08-622B3553B595}" name="Валюта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B809C48-1422-4E7A-8BE0-F56E27DB4F0D}" name="Table5" displayName="Table5" ref="K1:L11" totalsRowShown="0">
  <autoFilter ref="K1:L11" xr:uid="{8B809C48-1422-4E7A-8BE0-F56E27DB4F0D}"/>
  <tableColumns count="2">
    <tableColumn id="1" xr3:uid="{C50303A1-88CD-4EDC-9B47-2C6563176476}" name="Название"/>
    <tableColumn id="2" xr3:uid="{81C65523-4727-4E1E-A277-8BC666E4B98F}" name="Сумма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7258D4C-C9D1-4881-86D3-220BC9C377BE}" name="Table7" displayName="Table7" ref="A1:C13" totalsRowShown="0">
  <autoFilter ref="A1:C13" xr:uid="{B7258D4C-C9D1-4881-86D3-220BC9C377BE}"/>
  <tableColumns count="3">
    <tableColumn id="1" xr3:uid="{6A7DDB32-BA3A-4445-9F40-BC10A802B82B}" name="Месяц"/>
    <tableColumn id="2" xr3:uid="{5146812B-65A7-46BA-9B28-6B50403D0380}" name="Сумма" dataDxfId="12">
      <calculatedColumnFormula>L3+L4+L6+L7+L8+L9</calculatedColumnFormula>
    </tableColumn>
    <tableColumn id="3" xr3:uid="{4D14FB41-4036-492D-8C52-C609C3CFA4C9}" name="Свободные деньги">
      <calculatedColumnFormula>Table2[[#This Row],[Сумма]]-Table7[[#This Row],[Сумма]]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35A512F-CD73-4D87-8723-1AC09730FA3C}" name="Table8" displayName="Table8" ref="N1:O12" totalsRowShown="0">
  <autoFilter ref="N1:O12" xr:uid="{335A512F-CD73-4D87-8723-1AC09730FA3C}"/>
  <tableColumns count="2">
    <tableColumn id="1" xr3:uid="{592F69AA-DDFC-4729-AA70-6EEF2A53C630}" name="Название"/>
    <tableColumn id="2" xr3:uid="{0AC2F6ED-7481-49B0-B2AC-7CF70DECFFFE}" name="Сумма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19A74D-DF9C-49FE-8C8C-971945A1577F}" name="Table3" displayName="Table3" ref="A1:H169" totalsRowShown="0">
  <autoFilter ref="A1:H169" xr:uid="{9E19A74D-DF9C-49FE-8C8C-971945A1577F}"/>
  <tableColumns count="8">
    <tableColumn id="1" xr3:uid="{800BB357-AD45-4907-94F8-698FB032A955}" name="Месяц"/>
    <tableColumn id="2" xr3:uid="{B5BEF9FE-D7B8-4290-AEE0-E0EC4EC8823E}" name="Сумма" dataDxfId="11">
      <calculatedColumnFormula>E1</calculatedColumnFormula>
    </tableColumn>
    <tableColumn id="3" xr3:uid="{63DD5922-AB67-4841-BF05-2F18A4E077CE}" name="Вложенная сумма"/>
    <tableColumn id="4" xr3:uid="{E2A90522-B5EA-47C9-9FB4-90963699F3A8}" name="Процент в конце" dataDxfId="10">
      <calculatedColumnFormula>(0.07/12)*(B2+C2)</calculatedColumnFormula>
    </tableColumn>
    <tableColumn id="5" xr3:uid="{4DB15378-9822-4AD5-951A-A9098578BAB0}" name="Сумма в конце" dataDxfId="9">
      <calculatedColumnFormula>D2+B2+C2-Table3[[#This Row],[Снятие]]</calculatedColumnFormula>
    </tableColumn>
    <tableColumn id="6" xr3:uid="{3A29E300-0E6C-456A-B93B-BC5C5A093CC8}" name="Снятие" dataDxfId="8"/>
    <tableColumn id="7" xr3:uid="{0B586C98-591F-4D6B-96EE-21C53301CCD8}" name="Года" dataDxfId="7"/>
    <tableColumn id="8" xr3:uid="{3E4E1630-0973-4B81-AC9B-DA92E19E7CAE}" name="Предпологаемая моя зп" dataDxfId="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2F170B-19B7-421D-AC39-71A69FFA708D}" name="Table1" displayName="Table1" ref="A1:F870" totalsRowShown="0" headerRowDxfId="5">
  <autoFilter ref="A1:F870" xr:uid="{B82F170B-19B7-421D-AC39-71A69FFA708D}"/>
  <tableColumns count="6">
    <tableColumn id="1" xr3:uid="{8CAEADE9-253F-4CBE-B551-6478CB6B3D9A}" name="Дата" dataDxfId="4"/>
    <tableColumn id="2" xr3:uid="{4D79D684-C69A-4CC9-B8CD-CFF6C9D20347}" name="Остаток на начало дня" dataDxfId="3">
      <calculatedColumnFormula>F1</calculatedColumnFormula>
    </tableColumn>
    <tableColumn id="3" xr3:uid="{AB992507-1FC0-4B8A-BA33-5F3DEAF35758}" name="Дневная ставка"/>
    <tableColumn id="4" xr3:uid="{9B942243-90A7-4FA3-8436-41ED9C649A43}" name="Проценты за день" dataDxfId="2">
      <calculatedColumnFormula>B2*Table1[[#This Row],[Дневная ставка]]</calculatedColumnFormula>
    </tableColumn>
    <tableColumn id="5" xr3:uid="{D0EEC455-5371-434E-B324-95FE3351D14D}" name="Платёж"/>
    <tableColumn id="6" xr3:uid="{A4C6051D-DA04-44FC-AD95-E0A849EC83F0}" name="Остаток на конец дня" dataDxfId="1">
      <calculatedColumnFormula>B2+D2-E2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5937506-9CF9-45F3-8B99-6E43161B92AD}" name="Table4" displayName="Table4" ref="A1:F12" totalsRowShown="0">
  <autoFilter ref="A1:F12" xr:uid="{55937506-9CF9-45F3-8B99-6E43161B92AD}"/>
  <tableColumns count="6">
    <tableColumn id="1" xr3:uid="{FBB87A67-EC69-469D-95A8-7BEE7DE39FF0}" name="Месяц"/>
    <tableColumn id="2" xr3:uid="{7A475307-CE9C-4B45-814A-5620F501B4F9}" name="Сумма"/>
    <tableColumn id="3" xr3:uid="{B2866929-9746-47C9-A73E-532299876244}" name="Оплата"/>
    <tableColumn id="4" xr3:uid="{CA658AF1-EEC3-4C82-8924-809BB0B8CEE4}" name="Оплата по банку"/>
    <tableColumn id="5" xr3:uid="{446F6F4C-B5AD-4FD2-8384-9C374524EE26}" name="Остаточная сумма">
      <calculatedColumnFormula>B2-C2</calculatedColumnFormula>
    </tableColumn>
    <tableColumn id="6" xr3:uid="{028028A6-EC01-4B26-8059-51C0A7CBB59E}" name="Остаточная сумма по банку" dataDxfId="0">
      <calculatedColumnFormula>Table4[[#This Row],[Сумма]]-Table4[[#This Row],[Оплата по банку]]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0B11B35-1C63-4834-9D47-EB4BF75242C2}" name="Table9" displayName="Table9" ref="A1:D4" totalsRowShown="0">
  <autoFilter ref="A1:D4" xr:uid="{50B11B35-1C63-4834-9D47-EB4BF75242C2}"/>
  <tableColumns count="4">
    <tableColumn id="1" xr3:uid="{5A7355F6-E43A-47A0-BBDD-1BF0979636ED}" name="Название"/>
    <tableColumn id="2" xr3:uid="{C8CBE373-E19C-4F7E-800A-4E837E9EBFE3}" name="Стоимость"/>
    <tableColumn id="3" xr3:uid="{7C604798-146A-42E9-A935-331876545489}" name="Column1"/>
    <tableColumn id="4" xr3:uid="{9011BA67-B998-455A-AA9E-6EDD2BA8149F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147CD-BA06-4463-9312-436BD69817E6}">
  <dimension ref="A1:E25"/>
  <sheetViews>
    <sheetView zoomScale="95" workbookViewId="0">
      <selection activeCell="D12" sqref="D12"/>
    </sheetView>
  </sheetViews>
  <sheetFormatPr defaultRowHeight="14.4" x14ac:dyDescent="0.3"/>
  <cols>
    <col min="1" max="1" width="21.77734375" customWidth="1"/>
    <col min="2" max="2" width="14.21875" customWidth="1"/>
    <col min="3" max="3" width="14.109375" customWidth="1"/>
    <col min="4" max="4" width="16" customWidth="1"/>
    <col min="5" max="5" width="17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29</v>
      </c>
      <c r="B2" t="s">
        <v>5</v>
      </c>
      <c r="C2" t="s">
        <v>6</v>
      </c>
      <c r="D2">
        <v>4150</v>
      </c>
      <c r="E2" t="s">
        <v>7</v>
      </c>
    </row>
    <row r="3" spans="1:5" x14ac:dyDescent="0.3">
      <c r="A3" t="s">
        <v>12</v>
      </c>
      <c r="B3" t="s">
        <v>5</v>
      </c>
      <c r="C3" t="s">
        <v>6</v>
      </c>
      <c r="D3">
        <v>4150</v>
      </c>
      <c r="E3" t="s">
        <v>7</v>
      </c>
    </row>
    <row r="4" spans="1:5" x14ac:dyDescent="0.3">
      <c r="A4" t="s">
        <v>13</v>
      </c>
      <c r="B4" t="s">
        <v>5</v>
      </c>
      <c r="C4" t="s">
        <v>6</v>
      </c>
      <c r="D4">
        <v>4150</v>
      </c>
      <c r="E4" t="s">
        <v>7</v>
      </c>
    </row>
    <row r="5" spans="1:5" x14ac:dyDescent="0.3">
      <c r="A5" t="s">
        <v>14</v>
      </c>
      <c r="B5" t="s">
        <v>5</v>
      </c>
      <c r="C5" t="s">
        <v>6</v>
      </c>
      <c r="D5">
        <v>4150</v>
      </c>
      <c r="E5" t="s">
        <v>7</v>
      </c>
    </row>
    <row r="6" spans="1:5" x14ac:dyDescent="0.3">
      <c r="A6" t="s">
        <v>15</v>
      </c>
      <c r="B6" t="s">
        <v>5</v>
      </c>
      <c r="C6" t="s">
        <v>6</v>
      </c>
      <c r="D6">
        <v>4150</v>
      </c>
      <c r="E6" t="s">
        <v>7</v>
      </c>
    </row>
    <row r="7" spans="1:5" x14ac:dyDescent="0.3">
      <c r="A7" t="s">
        <v>16</v>
      </c>
      <c r="B7" t="s">
        <v>5</v>
      </c>
      <c r="C7" t="s">
        <v>6</v>
      </c>
      <c r="D7">
        <v>4150</v>
      </c>
      <c r="E7" t="s">
        <v>7</v>
      </c>
    </row>
    <row r="8" spans="1:5" x14ac:dyDescent="0.3">
      <c r="A8" t="s">
        <v>17</v>
      </c>
      <c r="B8" t="s">
        <v>5</v>
      </c>
      <c r="C8" t="s">
        <v>6</v>
      </c>
      <c r="D8">
        <v>4150</v>
      </c>
      <c r="E8" t="s">
        <v>7</v>
      </c>
    </row>
    <row r="9" spans="1:5" x14ac:dyDescent="0.3">
      <c r="A9" t="s">
        <v>18</v>
      </c>
      <c r="B9" t="s">
        <v>5</v>
      </c>
      <c r="C9" t="s">
        <v>6</v>
      </c>
      <c r="D9">
        <v>4150</v>
      </c>
      <c r="E9" t="s">
        <v>7</v>
      </c>
    </row>
    <row r="10" spans="1:5" x14ac:dyDescent="0.3">
      <c r="A10" t="s">
        <v>19</v>
      </c>
      <c r="B10" t="s">
        <v>5</v>
      </c>
      <c r="C10" t="s">
        <v>6</v>
      </c>
      <c r="D10">
        <v>4150</v>
      </c>
      <c r="E10" t="s">
        <v>7</v>
      </c>
    </row>
    <row r="11" spans="1:5" x14ac:dyDescent="0.3">
      <c r="A11" t="s">
        <v>20</v>
      </c>
      <c r="B11" t="s">
        <v>5</v>
      </c>
      <c r="C11" t="s">
        <v>6</v>
      </c>
      <c r="D11">
        <v>4150</v>
      </c>
      <c r="E11" t="s">
        <v>7</v>
      </c>
    </row>
    <row r="12" spans="1:5" x14ac:dyDescent="0.3">
      <c r="A12" t="s">
        <v>21</v>
      </c>
      <c r="B12" t="s">
        <v>5</v>
      </c>
      <c r="C12" t="s">
        <v>6</v>
      </c>
      <c r="D12">
        <v>4150</v>
      </c>
      <c r="E12" t="s">
        <v>7</v>
      </c>
    </row>
    <row r="13" spans="1:5" x14ac:dyDescent="0.3">
      <c r="A13" t="s">
        <v>22</v>
      </c>
      <c r="B13" t="s">
        <v>5</v>
      </c>
      <c r="C13" t="s">
        <v>6</v>
      </c>
      <c r="D13">
        <v>4150</v>
      </c>
      <c r="E13" t="s">
        <v>7</v>
      </c>
    </row>
    <row r="14" spans="1:5" x14ac:dyDescent="0.3">
      <c r="A14" t="s">
        <v>29</v>
      </c>
      <c r="B14" t="s">
        <v>5</v>
      </c>
      <c r="C14" t="s">
        <v>6</v>
      </c>
      <c r="D14">
        <v>4150</v>
      </c>
      <c r="E14" t="s">
        <v>7</v>
      </c>
    </row>
    <row r="15" spans="1:5" x14ac:dyDescent="0.3">
      <c r="A15" t="s">
        <v>12</v>
      </c>
      <c r="B15" t="s">
        <v>5</v>
      </c>
      <c r="C15" t="s">
        <v>6</v>
      </c>
      <c r="D15">
        <v>4150</v>
      </c>
      <c r="E15" t="s">
        <v>7</v>
      </c>
    </row>
    <row r="16" spans="1:5" x14ac:dyDescent="0.3">
      <c r="A16" t="s">
        <v>13</v>
      </c>
      <c r="B16" t="s">
        <v>5</v>
      </c>
      <c r="C16" t="s">
        <v>6</v>
      </c>
      <c r="D16">
        <v>4150</v>
      </c>
      <c r="E16" t="s">
        <v>7</v>
      </c>
    </row>
    <row r="17" spans="1:5" x14ac:dyDescent="0.3">
      <c r="A17" t="s">
        <v>14</v>
      </c>
      <c r="B17" t="s">
        <v>5</v>
      </c>
      <c r="C17" t="s">
        <v>6</v>
      </c>
      <c r="D17">
        <v>4150</v>
      </c>
      <c r="E17" t="s">
        <v>7</v>
      </c>
    </row>
    <row r="18" spans="1:5" x14ac:dyDescent="0.3">
      <c r="A18" t="s">
        <v>15</v>
      </c>
      <c r="B18" t="s">
        <v>5</v>
      </c>
      <c r="C18" t="s">
        <v>6</v>
      </c>
      <c r="D18">
        <v>4150</v>
      </c>
      <c r="E18" t="s">
        <v>7</v>
      </c>
    </row>
    <row r="19" spans="1:5" x14ac:dyDescent="0.3">
      <c r="A19" t="s">
        <v>16</v>
      </c>
      <c r="B19" t="s">
        <v>5</v>
      </c>
      <c r="C19" t="s">
        <v>6</v>
      </c>
      <c r="D19">
        <v>4150</v>
      </c>
      <c r="E19" t="s">
        <v>7</v>
      </c>
    </row>
    <row r="20" spans="1:5" x14ac:dyDescent="0.3">
      <c r="A20" t="s">
        <v>17</v>
      </c>
      <c r="B20" t="s">
        <v>5</v>
      </c>
      <c r="C20" t="s">
        <v>6</v>
      </c>
      <c r="D20">
        <v>4150</v>
      </c>
      <c r="E20" t="s">
        <v>7</v>
      </c>
    </row>
    <row r="21" spans="1:5" x14ac:dyDescent="0.3">
      <c r="A21" t="s">
        <v>18</v>
      </c>
      <c r="B21" t="s">
        <v>5</v>
      </c>
      <c r="C21" t="s">
        <v>6</v>
      </c>
      <c r="D21">
        <v>4150</v>
      </c>
      <c r="E21" t="s">
        <v>7</v>
      </c>
    </row>
    <row r="22" spans="1:5" x14ac:dyDescent="0.3">
      <c r="A22" t="s">
        <v>19</v>
      </c>
      <c r="B22" t="s">
        <v>5</v>
      </c>
      <c r="C22" t="s">
        <v>6</v>
      </c>
      <c r="D22">
        <v>4150</v>
      </c>
      <c r="E22" t="s">
        <v>7</v>
      </c>
    </row>
    <row r="23" spans="1:5" x14ac:dyDescent="0.3">
      <c r="A23" t="s">
        <v>20</v>
      </c>
      <c r="B23" t="s">
        <v>5</v>
      </c>
      <c r="C23" t="s">
        <v>6</v>
      </c>
      <c r="D23">
        <v>4150</v>
      </c>
      <c r="E23" t="s">
        <v>7</v>
      </c>
    </row>
    <row r="24" spans="1:5" x14ac:dyDescent="0.3">
      <c r="A24" t="s">
        <v>21</v>
      </c>
      <c r="B24" t="s">
        <v>5</v>
      </c>
      <c r="C24" t="s">
        <v>6</v>
      </c>
      <c r="D24">
        <v>4150</v>
      </c>
      <c r="E24" t="s">
        <v>7</v>
      </c>
    </row>
    <row r="25" spans="1:5" x14ac:dyDescent="0.3">
      <c r="A25" t="s">
        <v>22</v>
      </c>
      <c r="B25" t="s">
        <v>5</v>
      </c>
      <c r="C25" t="s">
        <v>6</v>
      </c>
      <c r="D25">
        <v>4150</v>
      </c>
      <c r="E25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770CF-08FD-4C9D-AFBF-8463B88F3C04}">
  <dimension ref="A1:O13"/>
  <sheetViews>
    <sheetView workbookViewId="0">
      <selection activeCell="L5" sqref="L5"/>
    </sheetView>
  </sheetViews>
  <sheetFormatPr defaultRowHeight="14.4" x14ac:dyDescent="0.3"/>
  <cols>
    <col min="1" max="1" width="11.21875" bestFit="1" customWidth="1"/>
    <col min="3" max="3" width="18.88671875" customWidth="1"/>
    <col min="11" max="11" width="11.6640625" bestFit="1" customWidth="1"/>
    <col min="14" max="14" width="11.33203125" customWidth="1"/>
  </cols>
  <sheetData>
    <row r="1" spans="1:15" x14ac:dyDescent="0.3">
      <c r="A1" t="s">
        <v>8</v>
      </c>
      <c r="B1" t="s">
        <v>3</v>
      </c>
      <c r="C1" t="s">
        <v>51</v>
      </c>
      <c r="K1" t="s">
        <v>52</v>
      </c>
      <c r="L1" t="s">
        <v>3</v>
      </c>
      <c r="N1" t="s">
        <v>52</v>
      </c>
      <c r="O1" t="s">
        <v>3</v>
      </c>
    </row>
    <row r="2" spans="1:15" x14ac:dyDescent="0.3">
      <c r="A2" t="s">
        <v>29</v>
      </c>
      <c r="B2">
        <f>L2+L3+L4+1500+L6+L7+L8+L9+L10</f>
        <v>3346</v>
      </c>
      <c r="C2">
        <f>Table2[[#This Row],[Сумма]]-Table7[[#This Row],[Сумма]]</f>
        <v>804</v>
      </c>
      <c r="K2" t="s">
        <v>53</v>
      </c>
      <c r="L2">
        <v>651</v>
      </c>
      <c r="N2" t="s">
        <v>53</v>
      </c>
      <c r="O2">
        <v>651</v>
      </c>
    </row>
    <row r="3" spans="1:15" x14ac:dyDescent="0.3">
      <c r="A3" t="s">
        <v>12</v>
      </c>
      <c r="B3">
        <f>SUM($L$2:$L$10)</f>
        <v>3346</v>
      </c>
      <c r="C3">
        <f>Table2[[#This Row],[Сумма]]-Table7[[#This Row],[Сумма]]</f>
        <v>804</v>
      </c>
      <c r="K3" t="s">
        <v>54</v>
      </c>
      <c r="L3">
        <v>200</v>
      </c>
      <c r="N3" t="s">
        <v>55</v>
      </c>
      <c r="O3">
        <v>700</v>
      </c>
    </row>
    <row r="4" spans="1:15" x14ac:dyDescent="0.3">
      <c r="A4" t="s">
        <v>13</v>
      </c>
      <c r="B4">
        <f t="shared" ref="B4:B7" si="0">SUM($L$2:$L$10)</f>
        <v>3346</v>
      </c>
      <c r="C4">
        <f>Table2[[#This Row],[Сумма]]-Table7[[#This Row],[Сумма]]</f>
        <v>804</v>
      </c>
      <c r="K4" t="s">
        <v>55</v>
      </c>
      <c r="L4">
        <v>500</v>
      </c>
      <c r="N4" t="s">
        <v>62</v>
      </c>
      <c r="O4">
        <v>500</v>
      </c>
    </row>
    <row r="5" spans="1:15" x14ac:dyDescent="0.3">
      <c r="A5" t="s">
        <v>14</v>
      </c>
      <c r="B5">
        <f t="shared" si="0"/>
        <v>3346</v>
      </c>
      <c r="C5">
        <f>Table2[[#This Row],[Сумма]]-Table7[[#This Row],[Сумма]]</f>
        <v>804</v>
      </c>
      <c r="K5" t="s">
        <v>56</v>
      </c>
      <c r="L5">
        <v>1500</v>
      </c>
      <c r="N5" t="s">
        <v>56</v>
      </c>
      <c r="O5">
        <v>1500</v>
      </c>
    </row>
    <row r="6" spans="1:15" x14ac:dyDescent="0.3">
      <c r="A6" t="s">
        <v>15</v>
      </c>
      <c r="B6">
        <f t="shared" si="0"/>
        <v>3346</v>
      </c>
      <c r="C6">
        <f>Table2[[#This Row],[Сумма]]-Table7[[#This Row],[Сумма]]</f>
        <v>804</v>
      </c>
      <c r="K6" t="s">
        <v>57</v>
      </c>
      <c r="L6">
        <v>90</v>
      </c>
      <c r="N6" t="s">
        <v>57</v>
      </c>
      <c r="O6">
        <v>90</v>
      </c>
    </row>
    <row r="7" spans="1:15" x14ac:dyDescent="0.3">
      <c r="A7" t="s">
        <v>16</v>
      </c>
      <c r="B7">
        <f t="shared" si="0"/>
        <v>3346</v>
      </c>
      <c r="C7">
        <f>Table2[[#This Row],[Сумма]]-Table7[[#This Row],[Сумма]]</f>
        <v>804</v>
      </c>
      <c r="K7" t="s">
        <v>58</v>
      </c>
      <c r="L7">
        <v>40</v>
      </c>
      <c r="N7" t="s">
        <v>59</v>
      </c>
      <c r="O7">
        <v>80</v>
      </c>
    </row>
    <row r="8" spans="1:15" x14ac:dyDescent="0.3">
      <c r="A8" t="s">
        <v>17</v>
      </c>
      <c r="B8">
        <f>SUM($O$12)</f>
        <v>4046</v>
      </c>
      <c r="C8">
        <f>Table2[[#This Row],[Сумма]]-Table7[[#This Row],[Сумма]]</f>
        <v>104</v>
      </c>
      <c r="K8" t="s">
        <v>59</v>
      </c>
      <c r="L8">
        <v>80</v>
      </c>
      <c r="N8" t="s">
        <v>60</v>
      </c>
      <c r="O8">
        <v>25</v>
      </c>
    </row>
    <row r="9" spans="1:15" x14ac:dyDescent="0.3">
      <c r="A9" t="s">
        <v>18</v>
      </c>
      <c r="B9">
        <f t="shared" ref="B9:B13" si="1">SUM($O$12)</f>
        <v>4046</v>
      </c>
      <c r="C9">
        <f>Table2[[#This Row],[Сумма]]-Table7[[#This Row],[Сумма]]</f>
        <v>104</v>
      </c>
      <c r="K9" t="s">
        <v>60</v>
      </c>
      <c r="L9">
        <v>25</v>
      </c>
      <c r="N9" t="s">
        <v>61</v>
      </c>
      <c r="O9">
        <v>260</v>
      </c>
    </row>
    <row r="10" spans="1:15" x14ac:dyDescent="0.3">
      <c r="A10" t="s">
        <v>19</v>
      </c>
      <c r="B10">
        <f t="shared" si="1"/>
        <v>4046</v>
      </c>
      <c r="C10">
        <f>Table2[[#This Row],[Сумма]]-Table7[[#This Row],[Сумма]]</f>
        <v>104</v>
      </c>
      <c r="K10" t="s">
        <v>61</v>
      </c>
      <c r="L10">
        <v>260</v>
      </c>
      <c r="N10" t="s">
        <v>58</v>
      </c>
      <c r="O10">
        <v>40</v>
      </c>
    </row>
    <row r="11" spans="1:15" x14ac:dyDescent="0.3">
      <c r="A11" t="s">
        <v>20</v>
      </c>
      <c r="B11">
        <f t="shared" si="1"/>
        <v>4046</v>
      </c>
      <c r="C11">
        <f>Table2[[#This Row],[Сумма]]-Table7[[#This Row],[Сумма]]</f>
        <v>104</v>
      </c>
      <c r="K11" s="5" t="s">
        <v>68</v>
      </c>
      <c r="L11" s="5">
        <f>SUM(L2:L10)</f>
        <v>3346</v>
      </c>
      <c r="N11" t="s">
        <v>54</v>
      </c>
      <c r="O11">
        <v>200</v>
      </c>
    </row>
    <row r="12" spans="1:15" x14ac:dyDescent="0.3">
      <c r="A12" t="s">
        <v>21</v>
      </c>
      <c r="B12">
        <f t="shared" si="1"/>
        <v>4046</v>
      </c>
      <c r="C12">
        <f>Table2[[#This Row],[Сумма]]-Table7[[#This Row],[Сумма]]</f>
        <v>104</v>
      </c>
      <c r="N12" t="s">
        <v>68</v>
      </c>
      <c r="O12">
        <f>SUM(O2:O11)</f>
        <v>4046</v>
      </c>
    </row>
    <row r="13" spans="1:15" x14ac:dyDescent="0.3">
      <c r="A13" t="s">
        <v>22</v>
      </c>
      <c r="B13">
        <f t="shared" si="1"/>
        <v>4046</v>
      </c>
      <c r="C13">
        <f>Table2[[#This Row],[Сумма]]-Table7[[#This Row],[Сумма]]</f>
        <v>104</v>
      </c>
    </row>
  </sheetData>
  <pageMargins left="0.7" right="0.7" top="0.75" bottom="0.75" header="0.3" footer="0.3"/>
  <ignoredErrors>
    <ignoredError sqref="B2:B7" calculatedColumn="1"/>
  </ignoredErrors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B6CCE-A1CF-41BD-805C-17584F1A63E5}">
  <dimension ref="A1:H169"/>
  <sheetViews>
    <sheetView tabSelected="1" workbookViewId="0">
      <selection activeCell="N9" sqref="N9"/>
    </sheetView>
  </sheetViews>
  <sheetFormatPr defaultRowHeight="14.4" x14ac:dyDescent="0.3"/>
  <cols>
    <col min="1" max="1" width="11.21875" bestFit="1" customWidth="1"/>
    <col min="2" max="2" width="9.5546875" bestFit="1" customWidth="1"/>
    <col min="3" max="3" width="18.5546875" customWidth="1"/>
    <col min="4" max="4" width="17.21875" customWidth="1"/>
    <col min="5" max="5" width="15.5546875" customWidth="1"/>
  </cols>
  <sheetData>
    <row r="1" spans="1:8" x14ac:dyDescent="0.3">
      <c r="A1" t="s">
        <v>8</v>
      </c>
      <c r="B1" t="s">
        <v>3</v>
      </c>
      <c r="C1" t="s">
        <v>10</v>
      </c>
      <c r="D1" t="s">
        <v>9</v>
      </c>
      <c r="E1" t="s">
        <v>11</v>
      </c>
      <c r="F1" t="s">
        <v>28</v>
      </c>
      <c r="G1" t="s">
        <v>45</v>
      </c>
      <c r="H1" t="s">
        <v>46</v>
      </c>
    </row>
    <row r="2" spans="1:8" x14ac:dyDescent="0.3">
      <c r="A2" t="s">
        <v>29</v>
      </c>
      <c r="B2" s="1">
        <v>2000</v>
      </c>
      <c r="C2">
        <v>0</v>
      </c>
      <c r="D2" s="1">
        <f t="shared" ref="D2:D65" si="0">(0.07/12)*(B2+C2)</f>
        <v>11.666666666666668</v>
      </c>
      <c r="E2" s="1">
        <f>D2+B2+C2-Table3[[#This Row],[Снятие]]</f>
        <v>2011.6666666666667</v>
      </c>
      <c r="F2" s="1">
        <v>0</v>
      </c>
      <c r="G2" s="1"/>
      <c r="H2" s="1"/>
    </row>
    <row r="3" spans="1:8" x14ac:dyDescent="0.3">
      <c r="A3" t="s">
        <v>12</v>
      </c>
      <c r="B3" s="1">
        <f>E2</f>
        <v>2011.6666666666667</v>
      </c>
      <c r="C3" s="1">
        <v>1500</v>
      </c>
      <c r="D3" s="1">
        <f t="shared" si="0"/>
        <v>20.484722222222224</v>
      </c>
      <c r="E3" s="1">
        <f>B3+C3+D3-F3</f>
        <v>500.00138888888932</v>
      </c>
      <c r="F3" s="1">
        <v>3032.15</v>
      </c>
      <c r="G3" s="1"/>
      <c r="H3" s="1"/>
    </row>
    <row r="4" spans="1:8" x14ac:dyDescent="0.3">
      <c r="A4" t="s">
        <v>13</v>
      </c>
      <c r="B4" s="1">
        <f>E3</f>
        <v>500.00138888888932</v>
      </c>
      <c r="C4" s="1">
        <v>1500</v>
      </c>
      <c r="D4" s="1">
        <f t="shared" si="0"/>
        <v>11.666674768518522</v>
      </c>
      <c r="E4" s="1">
        <f t="shared" ref="E4:E67" si="1">B4+C4+D4-F4</f>
        <v>2011.6680636574079</v>
      </c>
      <c r="F4" s="1">
        <v>0</v>
      </c>
      <c r="G4" s="1"/>
      <c r="H4" s="1"/>
    </row>
    <row r="5" spans="1:8" x14ac:dyDescent="0.3">
      <c r="A5" t="s">
        <v>14</v>
      </c>
      <c r="B5" s="1">
        <f t="shared" ref="B5:B68" si="2">E4</f>
        <v>2011.6680636574079</v>
      </c>
      <c r="C5" s="1">
        <v>6500</v>
      </c>
      <c r="D5" s="1">
        <f t="shared" si="0"/>
        <v>49.651397038001548</v>
      </c>
      <c r="E5" s="1">
        <f t="shared" si="1"/>
        <v>8561.3194606954094</v>
      </c>
      <c r="F5" s="1">
        <v>0</v>
      </c>
      <c r="G5" s="4">
        <v>2026</v>
      </c>
      <c r="H5" s="1"/>
    </row>
    <row r="6" spans="1:8" x14ac:dyDescent="0.3">
      <c r="A6" t="s">
        <v>15</v>
      </c>
      <c r="B6" s="1">
        <f t="shared" si="2"/>
        <v>8561.3194606954094</v>
      </c>
      <c r="C6" s="1">
        <v>1500</v>
      </c>
      <c r="D6" s="1">
        <f t="shared" si="0"/>
        <v>58.691030187389892</v>
      </c>
      <c r="E6" s="1">
        <f t="shared" si="1"/>
        <v>10120.0104908828</v>
      </c>
      <c r="F6" s="1">
        <v>0</v>
      </c>
      <c r="G6" s="1"/>
      <c r="H6" s="1"/>
    </row>
    <row r="7" spans="1:8" x14ac:dyDescent="0.3">
      <c r="A7" t="s">
        <v>16</v>
      </c>
      <c r="B7" s="1">
        <f t="shared" si="2"/>
        <v>10120.0104908828</v>
      </c>
      <c r="C7" s="1">
        <v>1500</v>
      </c>
      <c r="D7" s="1">
        <f t="shared" si="0"/>
        <v>67.783394530149664</v>
      </c>
      <c r="E7" s="1">
        <f t="shared" si="1"/>
        <v>1567.7838854129495</v>
      </c>
      <c r="F7" s="1">
        <v>10120.01</v>
      </c>
      <c r="G7" s="1"/>
      <c r="H7" s="1"/>
    </row>
    <row r="8" spans="1:8" x14ac:dyDescent="0.3">
      <c r="A8" t="s">
        <v>17</v>
      </c>
      <c r="B8" s="1">
        <f t="shared" si="2"/>
        <v>1567.7838854129495</v>
      </c>
      <c r="C8" s="1">
        <v>1500</v>
      </c>
      <c r="D8" s="1">
        <f t="shared" si="0"/>
        <v>17.895405998242207</v>
      </c>
      <c r="E8" s="1">
        <f t="shared" si="1"/>
        <v>3085.6792914111916</v>
      </c>
      <c r="F8" s="1">
        <v>0</v>
      </c>
      <c r="G8" s="1"/>
      <c r="H8" s="1"/>
    </row>
    <row r="9" spans="1:8" x14ac:dyDescent="0.3">
      <c r="A9" t="s">
        <v>18</v>
      </c>
      <c r="B9" s="1">
        <f t="shared" si="2"/>
        <v>3085.6792914111916</v>
      </c>
      <c r="C9" s="1">
        <v>1500</v>
      </c>
      <c r="D9" s="1">
        <f t="shared" si="0"/>
        <v>26.74979586656529</v>
      </c>
      <c r="E9" s="1">
        <f t="shared" si="1"/>
        <v>4612.4290872777574</v>
      </c>
      <c r="F9" s="1">
        <v>0</v>
      </c>
      <c r="G9" s="1"/>
      <c r="H9" s="1"/>
    </row>
    <row r="10" spans="1:8" x14ac:dyDescent="0.3">
      <c r="A10" t="s">
        <v>19</v>
      </c>
      <c r="B10" s="1">
        <f t="shared" si="2"/>
        <v>4612.4290872777574</v>
      </c>
      <c r="C10" s="1">
        <v>1500</v>
      </c>
      <c r="D10" s="1">
        <f t="shared" si="0"/>
        <v>35.65583634245359</v>
      </c>
      <c r="E10" s="1">
        <f t="shared" si="1"/>
        <v>6148.0849236202112</v>
      </c>
      <c r="F10" s="1">
        <v>0</v>
      </c>
      <c r="G10" s="1"/>
      <c r="H10" s="1"/>
    </row>
    <row r="11" spans="1:8" x14ac:dyDescent="0.3">
      <c r="A11" t="s">
        <v>20</v>
      </c>
      <c r="B11" s="1">
        <f t="shared" si="2"/>
        <v>6148.0849236202112</v>
      </c>
      <c r="C11" s="1">
        <v>1500</v>
      </c>
      <c r="D11" s="1">
        <f t="shared" si="0"/>
        <v>44.613828721117898</v>
      </c>
      <c r="E11" s="1">
        <f t="shared" si="1"/>
        <v>7692.6987523413291</v>
      </c>
      <c r="F11" s="1">
        <v>0</v>
      </c>
      <c r="G11" s="1"/>
      <c r="H11" s="1"/>
    </row>
    <row r="12" spans="1:8" x14ac:dyDescent="0.3">
      <c r="A12" t="s">
        <v>21</v>
      </c>
      <c r="B12" s="1">
        <f t="shared" si="2"/>
        <v>7692.6987523413291</v>
      </c>
      <c r="C12" s="1">
        <v>1500</v>
      </c>
      <c r="D12" s="1">
        <f t="shared" si="0"/>
        <v>53.62407605532443</v>
      </c>
      <c r="E12" s="1">
        <f t="shared" si="1"/>
        <v>9246.3228283966546</v>
      </c>
      <c r="F12" s="1">
        <v>0</v>
      </c>
      <c r="G12" s="1"/>
      <c r="H12" s="1"/>
    </row>
    <row r="13" spans="1:8" x14ac:dyDescent="0.3">
      <c r="A13" t="s">
        <v>22</v>
      </c>
      <c r="B13" s="1">
        <f t="shared" si="2"/>
        <v>9246.3228283966546</v>
      </c>
      <c r="C13" s="1">
        <v>1500</v>
      </c>
      <c r="D13" s="1">
        <f t="shared" si="0"/>
        <v>62.686883165647153</v>
      </c>
      <c r="E13" s="1">
        <f t="shared" si="1"/>
        <v>10809.009711562301</v>
      </c>
      <c r="F13" s="1">
        <v>0</v>
      </c>
      <c r="G13" s="1"/>
      <c r="H13" s="1"/>
    </row>
    <row r="14" spans="1:8" x14ac:dyDescent="0.3">
      <c r="A14" t="s">
        <v>30</v>
      </c>
      <c r="B14" s="1">
        <f t="shared" si="2"/>
        <v>10809.009711562301</v>
      </c>
      <c r="C14" s="1">
        <v>1500</v>
      </c>
      <c r="D14" s="1">
        <f t="shared" si="0"/>
        <v>71.80255665078009</v>
      </c>
      <c r="E14" s="1">
        <f t="shared" si="1"/>
        <v>12380.812268213082</v>
      </c>
      <c r="F14" s="1">
        <v>0</v>
      </c>
      <c r="G14" s="1"/>
      <c r="H14" s="1"/>
    </row>
    <row r="15" spans="1:8" x14ac:dyDescent="0.3">
      <c r="A15" t="s">
        <v>12</v>
      </c>
      <c r="B15" s="1">
        <f t="shared" si="2"/>
        <v>12380.812268213082</v>
      </c>
      <c r="C15" s="1">
        <v>1500</v>
      </c>
      <c r="D15" s="1">
        <f t="shared" si="0"/>
        <v>80.97140489790965</v>
      </c>
      <c r="E15" s="1">
        <f t="shared" si="1"/>
        <v>13961.783673110991</v>
      </c>
      <c r="F15" s="1">
        <v>0</v>
      </c>
      <c r="G15" s="1"/>
      <c r="H15" s="1"/>
    </row>
    <row r="16" spans="1:8" x14ac:dyDescent="0.3">
      <c r="A16" t="s">
        <v>13</v>
      </c>
      <c r="B16" s="1">
        <f t="shared" si="2"/>
        <v>13961.783673110991</v>
      </c>
      <c r="C16" s="1">
        <v>1500</v>
      </c>
      <c r="D16" s="1">
        <f t="shared" si="0"/>
        <v>90.193738093147445</v>
      </c>
      <c r="E16" s="1">
        <f t="shared" si="1"/>
        <v>15551.977411204138</v>
      </c>
      <c r="F16" s="1">
        <v>0</v>
      </c>
      <c r="G16" s="1"/>
      <c r="H16" s="1"/>
    </row>
    <row r="17" spans="1:8" x14ac:dyDescent="0.3">
      <c r="A17" t="s">
        <v>14</v>
      </c>
      <c r="B17" s="1">
        <f t="shared" si="2"/>
        <v>15551.977411204138</v>
      </c>
      <c r="C17" s="1">
        <v>1500</v>
      </c>
      <c r="D17" s="1">
        <f t="shared" si="0"/>
        <v>99.46986823202414</v>
      </c>
      <c r="E17" s="1">
        <f t="shared" si="1"/>
        <v>17151.447279436161</v>
      </c>
      <c r="F17" s="1">
        <v>0</v>
      </c>
      <c r="G17" s="4">
        <v>2027</v>
      </c>
      <c r="H17" s="1"/>
    </row>
    <row r="18" spans="1:8" x14ac:dyDescent="0.3">
      <c r="A18" t="s">
        <v>15</v>
      </c>
      <c r="B18" s="1">
        <f t="shared" si="2"/>
        <v>17151.447279436161</v>
      </c>
      <c r="C18" s="1">
        <v>1500</v>
      </c>
      <c r="D18" s="1">
        <f t="shared" si="0"/>
        <v>108.80010913004428</v>
      </c>
      <c r="E18" s="1">
        <f t="shared" si="1"/>
        <v>18760.247388566204</v>
      </c>
      <c r="F18" s="1">
        <v>0</v>
      </c>
      <c r="G18" s="1"/>
      <c r="H18" s="1"/>
    </row>
    <row r="19" spans="1:8" x14ac:dyDescent="0.3">
      <c r="A19" t="s">
        <v>16</v>
      </c>
      <c r="B19" s="1">
        <f t="shared" si="2"/>
        <v>18760.247388566204</v>
      </c>
      <c r="C19" s="1">
        <v>1500</v>
      </c>
      <c r="D19" s="1">
        <f t="shared" si="0"/>
        <v>118.18477643330286</v>
      </c>
      <c r="E19" s="1">
        <f t="shared" si="1"/>
        <v>20378.432164999507</v>
      </c>
      <c r="F19" s="1">
        <v>0</v>
      </c>
      <c r="G19" s="1"/>
      <c r="H19" s="1"/>
    </row>
    <row r="20" spans="1:8" x14ac:dyDescent="0.3">
      <c r="A20" t="s">
        <v>17</v>
      </c>
      <c r="B20" s="1">
        <f t="shared" si="2"/>
        <v>20378.432164999507</v>
      </c>
      <c r="C20" s="1">
        <v>1500</v>
      </c>
      <c r="D20" s="1">
        <f t="shared" si="0"/>
        <v>127.6241876291638</v>
      </c>
      <c r="E20" s="1">
        <f t="shared" si="1"/>
        <v>22006.056352628671</v>
      </c>
      <c r="F20" s="1">
        <v>0</v>
      </c>
      <c r="G20" s="1"/>
      <c r="H20" s="1"/>
    </row>
    <row r="21" spans="1:8" x14ac:dyDescent="0.3">
      <c r="A21" t="s">
        <v>18</v>
      </c>
      <c r="B21" s="1">
        <f t="shared" si="2"/>
        <v>22006.056352628671</v>
      </c>
      <c r="C21" s="1">
        <v>1500</v>
      </c>
      <c r="D21" s="1">
        <f t="shared" si="0"/>
        <v>137.11866205700059</v>
      </c>
      <c r="E21" s="1">
        <f t="shared" si="1"/>
        <v>23643.175014685672</v>
      </c>
      <c r="F21" s="1">
        <v>0</v>
      </c>
      <c r="G21" s="1"/>
      <c r="H21" s="1"/>
    </row>
    <row r="22" spans="1:8" x14ac:dyDescent="0.3">
      <c r="A22" t="s">
        <v>19</v>
      </c>
      <c r="B22" s="1">
        <f t="shared" si="2"/>
        <v>23643.175014685672</v>
      </c>
      <c r="C22" s="1">
        <v>1500</v>
      </c>
      <c r="D22" s="1">
        <f t="shared" si="0"/>
        <v>146.66852091899975</v>
      </c>
      <c r="E22" s="1">
        <f t="shared" si="1"/>
        <v>25289.843535604672</v>
      </c>
      <c r="F22" s="1">
        <v>0</v>
      </c>
      <c r="G22" s="1"/>
      <c r="H22" s="1"/>
    </row>
    <row r="23" spans="1:8" x14ac:dyDescent="0.3">
      <c r="A23" t="s">
        <v>20</v>
      </c>
      <c r="B23" s="1">
        <f t="shared" si="2"/>
        <v>25289.843535604672</v>
      </c>
      <c r="C23" s="1">
        <v>1500</v>
      </c>
      <c r="D23" s="1">
        <f t="shared" si="0"/>
        <v>156.27408729102726</v>
      </c>
      <c r="E23" s="1">
        <f t="shared" si="1"/>
        <v>26946.117622895701</v>
      </c>
      <c r="F23" s="1">
        <v>0</v>
      </c>
      <c r="G23" s="1"/>
      <c r="H23" s="1"/>
    </row>
    <row r="24" spans="1:8" x14ac:dyDescent="0.3">
      <c r="A24" t="s">
        <v>21</v>
      </c>
      <c r="B24" s="1">
        <f t="shared" si="2"/>
        <v>26946.117622895701</v>
      </c>
      <c r="C24" s="1">
        <v>1500</v>
      </c>
      <c r="D24" s="1">
        <f t="shared" si="0"/>
        <v>165.93568613355828</v>
      </c>
      <c r="E24" s="1">
        <f t="shared" si="1"/>
        <v>28612.053309029259</v>
      </c>
      <c r="F24" s="1">
        <v>0</v>
      </c>
      <c r="G24" s="1"/>
      <c r="H24" s="1"/>
    </row>
    <row r="25" spans="1:8" x14ac:dyDescent="0.3">
      <c r="A25" t="s">
        <v>22</v>
      </c>
      <c r="B25" s="1">
        <f t="shared" si="2"/>
        <v>28612.053309029259</v>
      </c>
      <c r="C25" s="1">
        <v>1500</v>
      </c>
      <c r="D25" s="1">
        <f t="shared" si="0"/>
        <v>175.6536443026707</v>
      </c>
      <c r="E25" s="1">
        <f t="shared" si="1"/>
        <v>30287.70695333193</v>
      </c>
      <c r="F25" s="1">
        <v>0</v>
      </c>
      <c r="G25" s="1"/>
      <c r="H25" s="1"/>
    </row>
    <row r="26" spans="1:8" x14ac:dyDescent="0.3">
      <c r="A26" t="s">
        <v>31</v>
      </c>
      <c r="B26" s="1">
        <f t="shared" si="2"/>
        <v>30287.70695333193</v>
      </c>
      <c r="C26" s="1">
        <v>1500</v>
      </c>
      <c r="D26" s="1">
        <f t="shared" si="0"/>
        <v>185.42829056110293</v>
      </c>
      <c r="E26" s="1">
        <f t="shared" si="1"/>
        <v>31973.135243893033</v>
      </c>
      <c r="F26" s="1">
        <v>0</v>
      </c>
      <c r="G26" s="1"/>
      <c r="H26" s="1"/>
    </row>
    <row r="27" spans="1:8" x14ac:dyDescent="0.3">
      <c r="A27" t="s">
        <v>12</v>
      </c>
      <c r="B27" s="1">
        <f t="shared" si="2"/>
        <v>31973.135243893033</v>
      </c>
      <c r="C27" s="1">
        <v>1500</v>
      </c>
      <c r="D27" s="1">
        <f t="shared" si="0"/>
        <v>195.25995558937603</v>
      </c>
      <c r="E27" s="1">
        <f t="shared" si="1"/>
        <v>33668.395199482409</v>
      </c>
      <c r="F27" s="1">
        <v>0</v>
      </c>
      <c r="G27" s="1"/>
      <c r="H27" s="1"/>
    </row>
    <row r="28" spans="1:8" x14ac:dyDescent="0.3">
      <c r="A28" t="s">
        <v>13</v>
      </c>
      <c r="B28" s="1">
        <f t="shared" si="2"/>
        <v>33668.395199482409</v>
      </c>
      <c r="C28" s="1">
        <v>1500</v>
      </c>
      <c r="D28" s="1">
        <f t="shared" si="0"/>
        <v>205.14897199698072</v>
      </c>
      <c r="E28" s="1">
        <f t="shared" si="1"/>
        <v>35373.544171479392</v>
      </c>
      <c r="F28" s="1">
        <v>0</v>
      </c>
      <c r="G28" s="1"/>
      <c r="H28" s="1"/>
    </row>
    <row r="29" spans="1:8" x14ac:dyDescent="0.3">
      <c r="A29" t="s">
        <v>14</v>
      </c>
      <c r="B29" s="1">
        <f t="shared" si="2"/>
        <v>35373.544171479392</v>
      </c>
      <c r="C29" s="1">
        <v>1500</v>
      </c>
      <c r="D29" s="1">
        <f t="shared" si="0"/>
        <v>215.0956743336298</v>
      </c>
      <c r="E29" s="1">
        <f t="shared" si="1"/>
        <v>37088.639845813021</v>
      </c>
      <c r="F29" s="1">
        <v>0</v>
      </c>
      <c r="G29" s="4">
        <v>2028</v>
      </c>
      <c r="H29" s="1">
        <v>2450</v>
      </c>
    </row>
    <row r="30" spans="1:8" x14ac:dyDescent="0.3">
      <c r="A30" t="s">
        <v>15</v>
      </c>
      <c r="B30" s="1">
        <f t="shared" si="2"/>
        <v>37088.639845813021</v>
      </c>
      <c r="C30" s="1">
        <v>1500</v>
      </c>
      <c r="D30" s="1">
        <f t="shared" si="0"/>
        <v>225.10039910057597</v>
      </c>
      <c r="E30" s="1">
        <f t="shared" si="1"/>
        <v>38813.740244913599</v>
      </c>
      <c r="F30" s="1">
        <v>0</v>
      </c>
      <c r="G30" s="1"/>
      <c r="H30" s="1"/>
    </row>
    <row r="31" spans="1:8" x14ac:dyDescent="0.3">
      <c r="A31" t="s">
        <v>16</v>
      </c>
      <c r="B31" s="1">
        <f t="shared" si="2"/>
        <v>38813.740244913599</v>
      </c>
      <c r="C31" s="1">
        <v>1500</v>
      </c>
      <c r="D31" s="1">
        <f t="shared" si="0"/>
        <v>235.16348476199602</v>
      </c>
      <c r="E31" s="1">
        <f t="shared" si="1"/>
        <v>40548.903729675592</v>
      </c>
      <c r="F31" s="1">
        <v>0</v>
      </c>
      <c r="G31" s="1"/>
      <c r="H31" s="1"/>
    </row>
    <row r="32" spans="1:8" x14ac:dyDescent="0.3">
      <c r="A32" t="s">
        <v>17</v>
      </c>
      <c r="B32" s="1">
        <f t="shared" si="2"/>
        <v>40548.903729675592</v>
      </c>
      <c r="C32" s="1">
        <v>1500</v>
      </c>
      <c r="D32" s="1">
        <f t="shared" si="0"/>
        <v>245.28527175644098</v>
      </c>
      <c r="E32" s="1">
        <f t="shared" si="1"/>
        <v>42294.189001432031</v>
      </c>
      <c r="F32" s="1">
        <v>0</v>
      </c>
      <c r="G32" s="1"/>
      <c r="H32" s="1"/>
    </row>
    <row r="33" spans="1:8" x14ac:dyDescent="0.3">
      <c r="A33" t="s">
        <v>18</v>
      </c>
      <c r="B33" s="1">
        <f t="shared" si="2"/>
        <v>42294.189001432031</v>
      </c>
      <c r="C33" s="1">
        <v>1500</v>
      </c>
      <c r="D33" s="1">
        <f t="shared" si="0"/>
        <v>255.46610250835352</v>
      </c>
      <c r="E33" s="1">
        <f t="shared" si="1"/>
        <v>44049.655103940386</v>
      </c>
      <c r="F33" s="1">
        <v>0</v>
      </c>
      <c r="G33" s="1"/>
      <c r="H33" s="1"/>
    </row>
    <row r="34" spans="1:8" x14ac:dyDescent="0.3">
      <c r="A34" t="s">
        <v>19</v>
      </c>
      <c r="B34" s="1">
        <f t="shared" si="2"/>
        <v>44049.655103940386</v>
      </c>
      <c r="C34" s="1">
        <v>1500</v>
      </c>
      <c r="D34" s="1">
        <f t="shared" si="0"/>
        <v>265.70632143965224</v>
      </c>
      <c r="E34" s="1">
        <f t="shared" si="1"/>
        <v>45815.361425380041</v>
      </c>
      <c r="F34" s="1">
        <v>0</v>
      </c>
      <c r="G34" s="1"/>
      <c r="H34" s="1"/>
    </row>
    <row r="35" spans="1:8" x14ac:dyDescent="0.3">
      <c r="A35" t="s">
        <v>20</v>
      </c>
      <c r="B35" s="1">
        <f t="shared" si="2"/>
        <v>45815.361425380041</v>
      </c>
      <c r="C35" s="1">
        <v>1500</v>
      </c>
      <c r="D35" s="1">
        <f t="shared" si="0"/>
        <v>276.00627498138357</v>
      </c>
      <c r="E35" s="1">
        <f t="shared" si="1"/>
        <v>47591.367700361421</v>
      </c>
      <c r="F35" s="1">
        <v>0</v>
      </c>
      <c r="G35" s="1"/>
      <c r="H35" s="1"/>
    </row>
    <row r="36" spans="1:8" x14ac:dyDescent="0.3">
      <c r="A36" t="s">
        <v>21</v>
      </c>
      <c r="B36" s="1">
        <f t="shared" si="2"/>
        <v>47591.367700361421</v>
      </c>
      <c r="C36" s="1">
        <v>1500</v>
      </c>
      <c r="D36" s="1">
        <f t="shared" si="0"/>
        <v>286.36631158544162</v>
      </c>
      <c r="E36" s="1">
        <f t="shared" si="1"/>
        <v>49377.734011946864</v>
      </c>
      <c r="F36" s="1">
        <v>0</v>
      </c>
      <c r="G36" s="1"/>
      <c r="H36" s="1"/>
    </row>
    <row r="37" spans="1:8" x14ac:dyDescent="0.3">
      <c r="A37" t="s">
        <v>22</v>
      </c>
      <c r="B37" s="1">
        <f t="shared" si="2"/>
        <v>49377.734011946864</v>
      </c>
      <c r="C37" s="1">
        <v>1500</v>
      </c>
      <c r="D37" s="1">
        <f t="shared" si="0"/>
        <v>296.78678173635672</v>
      </c>
      <c r="E37" s="1">
        <f t="shared" si="1"/>
        <v>51174.520793683223</v>
      </c>
      <c r="F37" s="1">
        <v>0</v>
      </c>
      <c r="G37" s="1"/>
      <c r="H37" s="1"/>
    </row>
    <row r="38" spans="1:8" x14ac:dyDescent="0.3">
      <c r="A38" t="s">
        <v>32</v>
      </c>
      <c r="B38" s="1">
        <f t="shared" si="2"/>
        <v>51174.520793683223</v>
      </c>
      <c r="C38" s="1">
        <v>1500</v>
      </c>
      <c r="D38" s="1">
        <f t="shared" si="0"/>
        <v>307.26803796315215</v>
      </c>
      <c r="E38" s="1">
        <f t="shared" si="1"/>
        <v>52981.788831646372</v>
      </c>
      <c r="F38" s="1">
        <v>0</v>
      </c>
      <c r="G38" s="1"/>
      <c r="H38" s="1"/>
    </row>
    <row r="39" spans="1:8" x14ac:dyDescent="0.3">
      <c r="A39" t="s">
        <v>12</v>
      </c>
      <c r="B39" s="1">
        <f t="shared" si="2"/>
        <v>52981.788831646372</v>
      </c>
      <c r="C39" s="1">
        <v>1500</v>
      </c>
      <c r="D39" s="1">
        <f t="shared" si="0"/>
        <v>317.81043485127054</v>
      </c>
      <c r="E39" s="1">
        <f t="shared" si="1"/>
        <v>54799.599266497644</v>
      </c>
      <c r="F39" s="1">
        <v>0</v>
      </c>
      <c r="G39" s="1"/>
      <c r="H39" s="1"/>
    </row>
    <row r="40" spans="1:8" x14ac:dyDescent="0.3">
      <c r="A40" t="s">
        <v>13</v>
      </c>
      <c r="B40" s="1">
        <f t="shared" si="2"/>
        <v>54799.599266497644</v>
      </c>
      <c r="C40" s="1">
        <v>1500</v>
      </c>
      <c r="D40" s="1">
        <f t="shared" si="0"/>
        <v>328.41432905456958</v>
      </c>
      <c r="E40" s="1">
        <f t="shared" si="1"/>
        <v>56628.013595552213</v>
      </c>
      <c r="F40" s="1">
        <v>0</v>
      </c>
      <c r="G40" s="1"/>
      <c r="H40" s="1"/>
    </row>
    <row r="41" spans="1:8" x14ac:dyDescent="0.3">
      <c r="A41" t="s">
        <v>14</v>
      </c>
      <c r="B41" s="1">
        <f t="shared" si="2"/>
        <v>56628.013595552213</v>
      </c>
      <c r="C41" s="1">
        <v>1500</v>
      </c>
      <c r="D41" s="1">
        <f t="shared" si="0"/>
        <v>339.0800793073879</v>
      </c>
      <c r="E41" s="1">
        <f t="shared" si="1"/>
        <v>58467.0936748596</v>
      </c>
      <c r="F41" s="1">
        <v>0</v>
      </c>
      <c r="G41" s="4">
        <v>2029</v>
      </c>
      <c r="H41" s="1">
        <v>2650</v>
      </c>
    </row>
    <row r="42" spans="1:8" x14ac:dyDescent="0.3">
      <c r="A42" t="s">
        <v>15</v>
      </c>
      <c r="B42" s="1">
        <f t="shared" si="2"/>
        <v>58467.0936748596</v>
      </c>
      <c r="C42" s="1">
        <v>1500</v>
      </c>
      <c r="D42" s="1">
        <f t="shared" si="0"/>
        <v>349.80804643668102</v>
      </c>
      <c r="E42" s="1">
        <f t="shared" si="1"/>
        <v>60316.901721296279</v>
      </c>
      <c r="F42" s="1">
        <v>0</v>
      </c>
      <c r="G42" s="1"/>
      <c r="H42" s="1"/>
    </row>
    <row r="43" spans="1:8" x14ac:dyDescent="0.3">
      <c r="A43" t="s">
        <v>16</v>
      </c>
      <c r="B43" s="1">
        <f t="shared" si="2"/>
        <v>60316.901721296279</v>
      </c>
      <c r="C43" s="1">
        <v>1500</v>
      </c>
      <c r="D43" s="1">
        <f t="shared" si="0"/>
        <v>360.5985933742283</v>
      </c>
      <c r="E43" s="1">
        <f t="shared" si="1"/>
        <v>62177.500314670506</v>
      </c>
      <c r="F43" s="1">
        <v>0</v>
      </c>
      <c r="G43" s="1"/>
      <c r="H43" s="1"/>
    </row>
    <row r="44" spans="1:8" x14ac:dyDescent="0.3">
      <c r="A44" t="s">
        <v>17</v>
      </c>
      <c r="B44" s="1">
        <f t="shared" si="2"/>
        <v>62177.500314670506</v>
      </c>
      <c r="C44" s="1">
        <v>1500</v>
      </c>
      <c r="D44" s="1">
        <f t="shared" si="0"/>
        <v>371.45208516891131</v>
      </c>
      <c r="E44" s="1">
        <f t="shared" si="1"/>
        <v>64048.952399839414</v>
      </c>
      <c r="F44" s="1">
        <v>0</v>
      </c>
      <c r="G44" s="1"/>
      <c r="H44" s="1"/>
    </row>
    <row r="45" spans="1:8" x14ac:dyDescent="0.3">
      <c r="A45" t="s">
        <v>18</v>
      </c>
      <c r="B45" s="1">
        <f t="shared" si="2"/>
        <v>64048.952399839414</v>
      </c>
      <c r="C45" s="1">
        <v>1500</v>
      </c>
      <c r="D45" s="1">
        <f t="shared" si="0"/>
        <v>382.36888899906324</v>
      </c>
      <c r="E45" s="1">
        <f t="shared" si="1"/>
        <v>65931.321288838473</v>
      </c>
      <c r="F45" s="1">
        <v>0</v>
      </c>
      <c r="G45" s="1"/>
      <c r="H45" s="1"/>
    </row>
    <row r="46" spans="1:8" x14ac:dyDescent="0.3">
      <c r="A46" t="s">
        <v>19</v>
      </c>
      <c r="B46" s="1">
        <f t="shared" si="2"/>
        <v>65931.321288838473</v>
      </c>
      <c r="C46" s="1">
        <v>1500</v>
      </c>
      <c r="D46" s="1">
        <f t="shared" si="0"/>
        <v>393.34937418489113</v>
      </c>
      <c r="E46" s="1">
        <f t="shared" si="1"/>
        <v>67824.670663023368</v>
      </c>
      <c r="F46" s="1">
        <v>0</v>
      </c>
      <c r="G46" s="1"/>
      <c r="H46" s="1"/>
    </row>
    <row r="47" spans="1:8" x14ac:dyDescent="0.3">
      <c r="A47" t="s">
        <v>20</v>
      </c>
      <c r="B47" s="1">
        <f t="shared" si="2"/>
        <v>67824.670663023368</v>
      </c>
      <c r="C47" s="1">
        <v>1500</v>
      </c>
      <c r="D47" s="1">
        <f t="shared" si="0"/>
        <v>404.39391220096968</v>
      </c>
      <c r="E47" s="1">
        <f t="shared" si="1"/>
        <v>69729.064575224344</v>
      </c>
      <c r="F47" s="1">
        <v>0</v>
      </c>
      <c r="G47" s="1"/>
      <c r="H47" s="1"/>
    </row>
    <row r="48" spans="1:8" x14ac:dyDescent="0.3">
      <c r="A48" t="s">
        <v>21</v>
      </c>
      <c r="B48" s="1">
        <f t="shared" si="2"/>
        <v>69729.064575224344</v>
      </c>
      <c r="C48" s="1">
        <v>1500</v>
      </c>
      <c r="D48" s="1">
        <f t="shared" si="0"/>
        <v>415.50287668880867</v>
      </c>
      <c r="E48" s="1">
        <f t="shared" si="1"/>
        <v>71644.567451913157</v>
      </c>
      <c r="F48" s="1">
        <v>0</v>
      </c>
      <c r="G48" s="1"/>
      <c r="H48" s="1"/>
    </row>
    <row r="49" spans="1:8" x14ac:dyDescent="0.3">
      <c r="A49" t="s">
        <v>22</v>
      </c>
      <c r="B49" s="1">
        <f t="shared" si="2"/>
        <v>71644.567451913157</v>
      </c>
      <c r="C49" s="1">
        <v>1500</v>
      </c>
      <c r="D49" s="1">
        <f t="shared" si="0"/>
        <v>426.67664346949346</v>
      </c>
      <c r="E49" s="1">
        <f t="shared" si="1"/>
        <v>73571.244095382644</v>
      </c>
      <c r="F49" s="1">
        <v>0</v>
      </c>
      <c r="G49" s="1"/>
      <c r="H49" s="1"/>
    </row>
    <row r="50" spans="1:8" x14ac:dyDescent="0.3">
      <c r="A50" t="s">
        <v>33</v>
      </c>
      <c r="B50" s="1">
        <f t="shared" si="2"/>
        <v>73571.244095382644</v>
      </c>
      <c r="C50" s="1">
        <v>1500</v>
      </c>
      <c r="D50" s="1">
        <f t="shared" si="0"/>
        <v>437.9155905563988</v>
      </c>
      <c r="E50" s="1">
        <f t="shared" si="1"/>
        <v>75509.159685939041</v>
      </c>
      <c r="F50" s="1">
        <v>0</v>
      </c>
      <c r="G50" s="1"/>
      <c r="H50" s="1"/>
    </row>
    <row r="51" spans="1:8" x14ac:dyDescent="0.3">
      <c r="A51" t="s">
        <v>12</v>
      </c>
      <c r="B51" s="1">
        <f t="shared" si="2"/>
        <v>75509.159685939041</v>
      </c>
      <c r="C51" s="1">
        <v>1500</v>
      </c>
      <c r="D51" s="1">
        <f t="shared" si="0"/>
        <v>449.22009816797777</v>
      </c>
      <c r="E51" s="1">
        <f t="shared" si="1"/>
        <v>77458.379784107019</v>
      </c>
      <c r="F51" s="1">
        <v>0</v>
      </c>
      <c r="G51" s="1"/>
      <c r="H51" s="1"/>
    </row>
    <row r="52" spans="1:8" x14ac:dyDescent="0.3">
      <c r="A52" t="s">
        <v>13</v>
      </c>
      <c r="B52" s="1">
        <f t="shared" si="2"/>
        <v>77458.379784107019</v>
      </c>
      <c r="C52" s="1">
        <v>1500</v>
      </c>
      <c r="D52" s="1">
        <f t="shared" si="0"/>
        <v>460.59054874062429</v>
      </c>
      <c r="E52" s="1">
        <f t="shared" si="1"/>
        <v>79418.970332847646</v>
      </c>
      <c r="F52" s="1">
        <v>0</v>
      </c>
      <c r="G52" s="1"/>
      <c r="H52" s="1"/>
    </row>
    <row r="53" spans="1:8" x14ac:dyDescent="0.3">
      <c r="A53" t="s">
        <v>14</v>
      </c>
      <c r="B53" s="1">
        <f t="shared" si="2"/>
        <v>79418.970332847646</v>
      </c>
      <c r="C53" s="1">
        <v>1500</v>
      </c>
      <c r="D53" s="1">
        <f t="shared" si="0"/>
        <v>472.02732694161131</v>
      </c>
      <c r="E53" s="1">
        <f t="shared" si="1"/>
        <v>81390.997659789253</v>
      </c>
      <c r="F53" s="1">
        <v>0</v>
      </c>
      <c r="G53" s="4">
        <v>2030</v>
      </c>
      <c r="H53" s="1">
        <v>2850</v>
      </c>
    </row>
    <row r="54" spans="1:8" x14ac:dyDescent="0.3">
      <c r="A54" t="s">
        <v>15</v>
      </c>
      <c r="B54" s="1">
        <f t="shared" si="2"/>
        <v>81390.997659789253</v>
      </c>
      <c r="C54" s="1">
        <v>1500</v>
      </c>
      <c r="D54" s="1">
        <f t="shared" si="0"/>
        <v>483.53081968210398</v>
      </c>
      <c r="E54" s="1">
        <f t="shared" si="1"/>
        <v>83374.528479471352</v>
      </c>
      <c r="F54" s="1">
        <v>0</v>
      </c>
      <c r="G54" s="1"/>
      <c r="H54" s="1"/>
    </row>
    <row r="55" spans="1:8" x14ac:dyDescent="0.3">
      <c r="A55" t="s">
        <v>16</v>
      </c>
      <c r="B55" s="1">
        <f t="shared" si="2"/>
        <v>83374.528479471352</v>
      </c>
      <c r="C55" s="1">
        <v>1500</v>
      </c>
      <c r="D55" s="1">
        <f t="shared" si="0"/>
        <v>495.10141613024956</v>
      </c>
      <c r="E55" s="1">
        <f t="shared" si="1"/>
        <v>85369.629895601596</v>
      </c>
      <c r="F55" s="1">
        <v>0</v>
      </c>
      <c r="G55" s="1"/>
      <c r="H55" s="1"/>
    </row>
    <row r="56" spans="1:8" x14ac:dyDescent="0.3">
      <c r="A56" t="s">
        <v>17</v>
      </c>
      <c r="B56" s="1">
        <f t="shared" si="2"/>
        <v>85369.629895601596</v>
      </c>
      <c r="C56" s="1">
        <v>1500</v>
      </c>
      <c r="D56" s="1">
        <f t="shared" si="0"/>
        <v>506.73950772434267</v>
      </c>
      <c r="E56" s="1">
        <f t="shared" si="1"/>
        <v>87376.369403325938</v>
      </c>
      <c r="F56" s="1">
        <v>0</v>
      </c>
      <c r="G56" s="1"/>
      <c r="H56" s="1"/>
    </row>
    <row r="57" spans="1:8" x14ac:dyDescent="0.3">
      <c r="A57" t="s">
        <v>18</v>
      </c>
      <c r="B57" s="1">
        <f t="shared" si="2"/>
        <v>87376.369403325938</v>
      </c>
      <c r="C57" s="1">
        <v>1500</v>
      </c>
      <c r="D57" s="1">
        <f t="shared" si="0"/>
        <v>518.44548818606802</v>
      </c>
      <c r="E57" s="1">
        <f t="shared" si="1"/>
        <v>89394.814891512011</v>
      </c>
      <c r="F57" s="1">
        <v>0</v>
      </c>
      <c r="G57" s="1"/>
      <c r="H57" s="1"/>
    </row>
    <row r="58" spans="1:8" x14ac:dyDescent="0.3">
      <c r="A58" t="s">
        <v>19</v>
      </c>
      <c r="B58" s="1">
        <f t="shared" si="2"/>
        <v>89394.814891512011</v>
      </c>
      <c r="C58" s="1">
        <v>1500</v>
      </c>
      <c r="D58" s="1">
        <f t="shared" si="0"/>
        <v>530.21975353382004</v>
      </c>
      <c r="E58" s="1">
        <f t="shared" si="1"/>
        <v>91425.034645045831</v>
      </c>
      <c r="F58" s="1">
        <v>0</v>
      </c>
      <c r="G58" s="1"/>
      <c r="H58" s="1"/>
    </row>
    <row r="59" spans="1:8" x14ac:dyDescent="0.3">
      <c r="A59" t="s">
        <v>20</v>
      </c>
      <c r="B59" s="1">
        <f t="shared" si="2"/>
        <v>91425.034645045831</v>
      </c>
      <c r="C59" s="1">
        <v>1500</v>
      </c>
      <c r="D59" s="1">
        <f t="shared" si="0"/>
        <v>542.06270209610068</v>
      </c>
      <c r="E59" s="1">
        <f t="shared" si="1"/>
        <v>93467.097347141927</v>
      </c>
      <c r="F59" s="1">
        <v>0</v>
      </c>
      <c r="G59" s="1"/>
      <c r="H59" s="1"/>
    </row>
    <row r="60" spans="1:8" x14ac:dyDescent="0.3">
      <c r="A60" t="s">
        <v>21</v>
      </c>
      <c r="B60" s="1">
        <f t="shared" si="2"/>
        <v>93467.097347141927</v>
      </c>
      <c r="C60" s="1">
        <v>1500</v>
      </c>
      <c r="D60" s="1">
        <f t="shared" si="0"/>
        <v>553.97473452499457</v>
      </c>
      <c r="E60" s="1">
        <f t="shared" si="1"/>
        <v>95521.07208166692</v>
      </c>
      <c r="F60" s="1">
        <v>0</v>
      </c>
      <c r="G60" s="1"/>
      <c r="H60" s="1"/>
    </row>
    <row r="61" spans="1:8" x14ac:dyDescent="0.3">
      <c r="A61" t="s">
        <v>22</v>
      </c>
      <c r="B61" s="1">
        <f t="shared" si="2"/>
        <v>95521.07208166692</v>
      </c>
      <c r="C61" s="1">
        <v>1500</v>
      </c>
      <c r="D61" s="1">
        <f t="shared" si="0"/>
        <v>565.95625380972376</v>
      </c>
      <c r="E61" s="1">
        <f t="shared" si="1"/>
        <v>97587.028335476643</v>
      </c>
      <c r="F61" s="1">
        <v>0</v>
      </c>
      <c r="G61" s="1"/>
      <c r="H61" s="1"/>
    </row>
    <row r="62" spans="1:8" x14ac:dyDescent="0.3">
      <c r="A62" t="s">
        <v>34</v>
      </c>
      <c r="B62" s="1">
        <f t="shared" si="2"/>
        <v>97587.028335476643</v>
      </c>
      <c r="C62" s="1">
        <v>1500</v>
      </c>
      <c r="D62" s="1">
        <f t="shared" si="0"/>
        <v>578.00766529028044</v>
      </c>
      <c r="E62" s="1">
        <f t="shared" si="1"/>
        <v>99665.036000766922</v>
      </c>
      <c r="F62" s="1">
        <v>0</v>
      </c>
      <c r="G62" s="1"/>
      <c r="H62" s="1"/>
    </row>
    <row r="63" spans="1:8" x14ac:dyDescent="0.3">
      <c r="A63" t="s">
        <v>12</v>
      </c>
      <c r="B63" s="1">
        <f t="shared" si="2"/>
        <v>99665.036000766922</v>
      </c>
      <c r="C63" s="1">
        <v>1500</v>
      </c>
      <c r="D63" s="1">
        <f t="shared" si="0"/>
        <v>590.12937667114045</v>
      </c>
      <c r="E63" s="1">
        <f t="shared" si="1"/>
        <v>101755.16537743807</v>
      </c>
      <c r="F63" s="1">
        <v>0</v>
      </c>
      <c r="G63" s="1"/>
      <c r="H63" s="1"/>
    </row>
    <row r="64" spans="1:8" x14ac:dyDescent="0.3">
      <c r="A64" t="s">
        <v>13</v>
      </c>
      <c r="B64" s="1">
        <f t="shared" si="2"/>
        <v>101755.16537743807</v>
      </c>
      <c r="C64" s="1">
        <v>1500</v>
      </c>
      <c r="D64" s="1">
        <f t="shared" si="0"/>
        <v>602.32179803505539</v>
      </c>
      <c r="E64" s="1">
        <f t="shared" si="1"/>
        <v>103857.48717547313</v>
      </c>
      <c r="F64" s="1">
        <v>0</v>
      </c>
      <c r="G64" s="1"/>
      <c r="H64" s="1"/>
    </row>
    <row r="65" spans="1:8" x14ac:dyDescent="0.3">
      <c r="A65" t="s">
        <v>14</v>
      </c>
      <c r="B65" s="1">
        <f t="shared" si="2"/>
        <v>103857.48717547313</v>
      </c>
      <c r="C65" s="1">
        <v>1500</v>
      </c>
      <c r="D65" s="1">
        <f t="shared" si="0"/>
        <v>614.58534185692656</v>
      </c>
      <c r="E65" s="1">
        <f t="shared" si="1"/>
        <v>105972.07251733006</v>
      </c>
      <c r="F65" s="1">
        <v>0</v>
      </c>
      <c r="G65" s="4">
        <v>2031</v>
      </c>
      <c r="H65" s="1">
        <v>3050</v>
      </c>
    </row>
    <row r="66" spans="1:8" x14ac:dyDescent="0.3">
      <c r="A66" t="s">
        <v>15</v>
      </c>
      <c r="B66" s="1">
        <f t="shared" si="2"/>
        <v>105972.07251733006</v>
      </c>
      <c r="C66" s="1">
        <v>1500</v>
      </c>
      <c r="D66" s="1">
        <f t="shared" ref="D66:D129" si="3">(0.07/12)*(B66+C66)</f>
        <v>626.92042301775871</v>
      </c>
      <c r="E66" s="1">
        <f t="shared" si="1"/>
        <v>108098.99294034782</v>
      </c>
      <c r="F66" s="1">
        <v>0</v>
      </c>
      <c r="G66" s="1"/>
      <c r="H66" s="1"/>
    </row>
    <row r="67" spans="1:8" x14ac:dyDescent="0.3">
      <c r="A67" t="s">
        <v>16</v>
      </c>
      <c r="B67" s="1">
        <f t="shared" si="2"/>
        <v>108098.99294034782</v>
      </c>
      <c r="C67" s="1">
        <v>1500</v>
      </c>
      <c r="D67" s="1">
        <f t="shared" si="3"/>
        <v>639.32745881869562</v>
      </c>
      <c r="E67" s="1">
        <f t="shared" si="1"/>
        <v>110238.32039916651</v>
      </c>
      <c r="F67" s="1">
        <v>0</v>
      </c>
      <c r="G67" s="1"/>
      <c r="H67" s="1"/>
    </row>
    <row r="68" spans="1:8" x14ac:dyDescent="0.3">
      <c r="A68" t="s">
        <v>17</v>
      </c>
      <c r="B68" s="1">
        <f t="shared" si="2"/>
        <v>110238.32039916651</v>
      </c>
      <c r="C68" s="1">
        <v>1500</v>
      </c>
      <c r="D68" s="1">
        <f t="shared" si="3"/>
        <v>651.80686899513796</v>
      </c>
      <c r="E68" s="1">
        <f t="shared" ref="E68:E131" si="4">B68+C68+D68-F68</f>
        <v>112390.12726816164</v>
      </c>
      <c r="F68" s="1">
        <v>0</v>
      </c>
      <c r="G68" s="1"/>
      <c r="H68" s="1"/>
    </row>
    <row r="69" spans="1:8" x14ac:dyDescent="0.3">
      <c r="A69" t="s">
        <v>18</v>
      </c>
      <c r="B69" s="1">
        <f t="shared" ref="B69:B132" si="5">E68</f>
        <v>112390.12726816164</v>
      </c>
      <c r="C69" s="1">
        <v>1500</v>
      </c>
      <c r="D69" s="1">
        <f t="shared" si="3"/>
        <v>664.35907573094289</v>
      </c>
      <c r="E69" s="1">
        <f t="shared" si="4"/>
        <v>114554.48634389258</v>
      </c>
      <c r="F69" s="1">
        <v>0</v>
      </c>
      <c r="G69" s="1"/>
      <c r="H69" s="1"/>
    </row>
    <row r="70" spans="1:8" x14ac:dyDescent="0.3">
      <c r="A70" t="s">
        <v>19</v>
      </c>
      <c r="B70" s="1">
        <f t="shared" si="5"/>
        <v>114554.48634389258</v>
      </c>
      <c r="C70" s="1">
        <v>1500</v>
      </c>
      <c r="D70" s="1">
        <f t="shared" si="3"/>
        <v>676.98450367270675</v>
      </c>
      <c r="E70" s="1">
        <f t="shared" si="4"/>
        <v>116731.47084756529</v>
      </c>
      <c r="F70" s="1">
        <v>0</v>
      </c>
      <c r="G70" s="1"/>
      <c r="H70" s="1"/>
    </row>
    <row r="71" spans="1:8" x14ac:dyDescent="0.3">
      <c r="A71" t="s">
        <v>20</v>
      </c>
      <c r="B71" s="1">
        <f t="shared" si="5"/>
        <v>116731.47084756529</v>
      </c>
      <c r="C71" s="1">
        <v>1500</v>
      </c>
      <c r="D71" s="1">
        <f t="shared" si="3"/>
        <v>689.68357994413088</v>
      </c>
      <c r="E71" s="1">
        <f t="shared" si="4"/>
        <v>118921.15442750942</v>
      </c>
      <c r="F71" s="1">
        <v>0</v>
      </c>
      <c r="G71" s="1"/>
      <c r="H71" s="1"/>
    </row>
    <row r="72" spans="1:8" x14ac:dyDescent="0.3">
      <c r="A72" t="s">
        <v>21</v>
      </c>
      <c r="B72" s="1">
        <f t="shared" si="5"/>
        <v>118921.15442750942</v>
      </c>
      <c r="C72" s="1">
        <v>1500</v>
      </c>
      <c r="D72" s="1">
        <f t="shared" si="3"/>
        <v>702.45673416047168</v>
      </c>
      <c r="E72" s="1">
        <f t="shared" si="4"/>
        <v>121123.61116166989</v>
      </c>
      <c r="F72" s="1">
        <v>0</v>
      </c>
      <c r="G72" s="1"/>
      <c r="H72" s="1"/>
    </row>
    <row r="73" spans="1:8" x14ac:dyDescent="0.3">
      <c r="A73" t="s">
        <v>22</v>
      </c>
      <c r="B73" s="1">
        <f t="shared" si="5"/>
        <v>121123.61116166989</v>
      </c>
      <c r="C73" s="1">
        <v>1500</v>
      </c>
      <c r="D73" s="1">
        <f t="shared" si="3"/>
        <v>715.30439844307443</v>
      </c>
      <c r="E73" s="1">
        <f t="shared" si="4"/>
        <v>123338.91556011296</v>
      </c>
      <c r="F73" s="1">
        <v>0</v>
      </c>
      <c r="G73" s="1"/>
      <c r="H73" s="1"/>
    </row>
    <row r="74" spans="1:8" x14ac:dyDescent="0.3">
      <c r="A74" t="s">
        <v>35</v>
      </c>
      <c r="B74" s="1">
        <f t="shared" si="5"/>
        <v>123338.91556011296</v>
      </c>
      <c r="C74" s="1">
        <v>1500</v>
      </c>
      <c r="D74" s="1">
        <f t="shared" si="3"/>
        <v>728.2270074339923</v>
      </c>
      <c r="E74" s="1">
        <f t="shared" si="4"/>
        <v>125567.14256754695</v>
      </c>
      <c r="F74" s="1">
        <v>0</v>
      </c>
      <c r="G74" s="1"/>
      <c r="H74" s="1"/>
    </row>
    <row r="75" spans="1:8" x14ac:dyDescent="0.3">
      <c r="A75" t="s">
        <v>12</v>
      </c>
      <c r="B75" s="1">
        <f t="shared" si="5"/>
        <v>125567.14256754695</v>
      </c>
      <c r="C75" s="1">
        <v>1500</v>
      </c>
      <c r="D75" s="1">
        <f t="shared" si="3"/>
        <v>741.22499831069058</v>
      </c>
      <c r="E75" s="1">
        <f t="shared" si="4"/>
        <v>127808.36756585764</v>
      </c>
      <c r="F75" s="1">
        <v>0</v>
      </c>
      <c r="G75" s="1"/>
      <c r="H75" s="1"/>
    </row>
    <row r="76" spans="1:8" x14ac:dyDescent="0.3">
      <c r="A76" t="s">
        <v>13</v>
      </c>
      <c r="B76" s="1">
        <f t="shared" si="5"/>
        <v>127808.36756585764</v>
      </c>
      <c r="C76" s="1">
        <v>1500</v>
      </c>
      <c r="D76" s="1">
        <f t="shared" si="3"/>
        <v>754.29881080083624</v>
      </c>
      <c r="E76" s="1">
        <f t="shared" si="4"/>
        <v>130062.66637665848</v>
      </c>
      <c r="F76" s="1">
        <v>0</v>
      </c>
      <c r="G76" s="1"/>
      <c r="H76" s="1"/>
    </row>
    <row r="77" spans="1:8" x14ac:dyDescent="0.3">
      <c r="A77" t="s">
        <v>14</v>
      </c>
      <c r="B77" s="1">
        <f t="shared" si="5"/>
        <v>130062.66637665848</v>
      </c>
      <c r="C77" s="1">
        <v>1500</v>
      </c>
      <c r="D77" s="1">
        <f t="shared" si="3"/>
        <v>767.44888719717449</v>
      </c>
      <c r="E77" s="1">
        <f t="shared" si="4"/>
        <v>132330.11526385567</v>
      </c>
      <c r="F77" s="1">
        <v>0</v>
      </c>
      <c r="G77" s="4">
        <v>2032</v>
      </c>
      <c r="H77" s="1">
        <v>3250</v>
      </c>
    </row>
    <row r="78" spans="1:8" x14ac:dyDescent="0.3">
      <c r="A78" t="s">
        <v>15</v>
      </c>
      <c r="B78" s="1">
        <f t="shared" si="5"/>
        <v>132330.11526385567</v>
      </c>
      <c r="C78" s="1">
        <v>1500</v>
      </c>
      <c r="D78" s="1">
        <f t="shared" si="3"/>
        <v>780.67567237249148</v>
      </c>
      <c r="E78" s="1">
        <f t="shared" si="4"/>
        <v>134610.79093622815</v>
      </c>
      <c r="F78" s="1">
        <v>0</v>
      </c>
      <c r="G78" s="1"/>
      <c r="H78" s="1"/>
    </row>
    <row r="79" spans="1:8" x14ac:dyDescent="0.3">
      <c r="A79" t="s">
        <v>16</v>
      </c>
      <c r="B79" s="1">
        <f t="shared" si="5"/>
        <v>134610.79093622815</v>
      </c>
      <c r="C79" s="1">
        <v>1500</v>
      </c>
      <c r="D79" s="1">
        <f t="shared" si="3"/>
        <v>793.97961379466426</v>
      </c>
      <c r="E79" s="1">
        <f t="shared" si="4"/>
        <v>136904.7705500228</v>
      </c>
      <c r="F79" s="1">
        <v>0</v>
      </c>
      <c r="G79" s="1"/>
      <c r="H79" s="1"/>
    </row>
    <row r="80" spans="1:8" x14ac:dyDescent="0.3">
      <c r="A80" t="s">
        <v>17</v>
      </c>
      <c r="B80" s="1">
        <f t="shared" si="5"/>
        <v>136904.7705500228</v>
      </c>
      <c r="C80" s="1">
        <v>1500</v>
      </c>
      <c r="D80" s="1">
        <f t="shared" si="3"/>
        <v>807.36116154179967</v>
      </c>
      <c r="E80" s="1">
        <f t="shared" si="4"/>
        <v>139212.13171156461</v>
      </c>
      <c r="F80" s="1">
        <v>0</v>
      </c>
      <c r="G80" s="1"/>
      <c r="H80" s="1"/>
    </row>
    <row r="81" spans="1:8" x14ac:dyDescent="0.3">
      <c r="A81" t="s">
        <v>18</v>
      </c>
      <c r="B81" s="1">
        <f t="shared" si="5"/>
        <v>139212.13171156461</v>
      </c>
      <c r="C81" s="1">
        <v>1500</v>
      </c>
      <c r="D81" s="1">
        <f t="shared" si="3"/>
        <v>820.82076831746031</v>
      </c>
      <c r="E81" s="1">
        <f t="shared" si="4"/>
        <v>141532.95247988208</v>
      </c>
      <c r="F81" s="1">
        <v>0</v>
      </c>
      <c r="G81" s="1"/>
      <c r="H81" s="1"/>
    </row>
    <row r="82" spans="1:8" x14ac:dyDescent="0.3">
      <c r="A82" t="s">
        <v>19</v>
      </c>
      <c r="B82" s="1">
        <f t="shared" si="5"/>
        <v>141532.95247988208</v>
      </c>
      <c r="C82" s="1">
        <v>1500</v>
      </c>
      <c r="D82" s="1">
        <f t="shared" si="3"/>
        <v>834.35888946597879</v>
      </c>
      <c r="E82" s="1">
        <f t="shared" si="4"/>
        <v>143867.31136934806</v>
      </c>
      <c r="F82" s="1">
        <v>0</v>
      </c>
      <c r="G82" s="1"/>
      <c r="H82" s="1"/>
    </row>
    <row r="83" spans="1:8" x14ac:dyDescent="0.3">
      <c r="A83" t="s">
        <v>20</v>
      </c>
      <c r="B83" s="1">
        <f t="shared" si="5"/>
        <v>143867.31136934806</v>
      </c>
      <c r="C83" s="1">
        <v>1500</v>
      </c>
      <c r="D83" s="1">
        <f t="shared" si="3"/>
        <v>847.97598298786374</v>
      </c>
      <c r="E83" s="1">
        <f t="shared" si="4"/>
        <v>146215.28735233593</v>
      </c>
      <c r="F83" s="1">
        <v>0</v>
      </c>
      <c r="G83" s="1"/>
      <c r="H83" s="1"/>
    </row>
    <row r="84" spans="1:8" x14ac:dyDescent="0.3">
      <c r="A84" t="s">
        <v>21</v>
      </c>
      <c r="B84" s="1">
        <f t="shared" si="5"/>
        <v>146215.28735233593</v>
      </c>
      <c r="C84" s="1">
        <v>1500</v>
      </c>
      <c r="D84" s="1">
        <f t="shared" si="3"/>
        <v>861.672509555293</v>
      </c>
      <c r="E84" s="1">
        <f t="shared" si="4"/>
        <v>148576.95986189123</v>
      </c>
      <c r="F84" s="1">
        <v>0</v>
      </c>
      <c r="G84" s="1"/>
      <c r="H84" s="1"/>
    </row>
    <row r="85" spans="1:8" x14ac:dyDescent="0.3">
      <c r="A85" t="s">
        <v>22</v>
      </c>
      <c r="B85" s="1">
        <f t="shared" si="5"/>
        <v>148576.95986189123</v>
      </c>
      <c r="C85" s="1">
        <v>1500</v>
      </c>
      <c r="D85" s="1">
        <f t="shared" si="3"/>
        <v>875.44893252769884</v>
      </c>
      <c r="E85" s="1">
        <f t="shared" si="4"/>
        <v>150952.40879441894</v>
      </c>
      <c r="F85" s="1">
        <v>0</v>
      </c>
      <c r="G85" s="1"/>
      <c r="H85" s="1"/>
    </row>
    <row r="86" spans="1:8" x14ac:dyDescent="0.3">
      <c r="A86" t="s">
        <v>36</v>
      </c>
      <c r="B86" s="1">
        <f t="shared" si="5"/>
        <v>150952.40879441894</v>
      </c>
      <c r="C86" s="1">
        <v>1500</v>
      </c>
      <c r="D86" s="1">
        <f t="shared" si="3"/>
        <v>889.3057179674438</v>
      </c>
      <c r="E86" s="1">
        <f t="shared" si="4"/>
        <v>153341.71451238639</v>
      </c>
      <c r="F86" s="1">
        <v>0</v>
      </c>
      <c r="G86" s="1"/>
      <c r="H86" s="1"/>
    </row>
    <row r="87" spans="1:8" x14ac:dyDescent="0.3">
      <c r="A87" t="s">
        <v>12</v>
      </c>
      <c r="B87" s="1">
        <f t="shared" si="5"/>
        <v>153341.71451238639</v>
      </c>
      <c r="C87" s="1">
        <v>1500</v>
      </c>
      <c r="D87" s="1">
        <f t="shared" si="3"/>
        <v>903.24333465558732</v>
      </c>
      <c r="E87" s="1">
        <f t="shared" si="4"/>
        <v>155744.95784704198</v>
      </c>
      <c r="F87" s="1">
        <v>0</v>
      </c>
      <c r="G87" s="1"/>
      <c r="H87" s="1"/>
    </row>
    <row r="88" spans="1:8" x14ac:dyDescent="0.3">
      <c r="A88" t="s">
        <v>13</v>
      </c>
      <c r="B88" s="1">
        <f t="shared" si="5"/>
        <v>155744.95784704198</v>
      </c>
      <c r="C88" s="1">
        <v>1500</v>
      </c>
      <c r="D88" s="1">
        <f t="shared" si="3"/>
        <v>917.26225410774498</v>
      </c>
      <c r="E88" s="1">
        <f t="shared" si="4"/>
        <v>158162.22010114972</v>
      </c>
      <c r="F88" s="1">
        <v>0</v>
      </c>
      <c r="G88" s="1"/>
      <c r="H88" s="1"/>
    </row>
    <row r="89" spans="1:8" x14ac:dyDescent="0.3">
      <c r="A89" t="s">
        <v>14</v>
      </c>
      <c r="B89" s="1">
        <f t="shared" si="5"/>
        <v>158162.22010114972</v>
      </c>
      <c r="C89" s="1">
        <v>1500</v>
      </c>
      <c r="D89" s="1">
        <f t="shared" si="3"/>
        <v>931.3629505900401</v>
      </c>
      <c r="E89" s="1">
        <f t="shared" si="4"/>
        <v>160593.58305173976</v>
      </c>
      <c r="F89" s="1">
        <v>0</v>
      </c>
      <c r="G89" s="4">
        <v>2033</v>
      </c>
      <c r="H89" s="1">
        <v>3450</v>
      </c>
    </row>
    <row r="90" spans="1:8" x14ac:dyDescent="0.3">
      <c r="A90" t="s">
        <v>15</v>
      </c>
      <c r="B90" s="1">
        <f t="shared" si="5"/>
        <v>160593.58305173976</v>
      </c>
      <c r="C90" s="1">
        <v>1500</v>
      </c>
      <c r="D90" s="1">
        <f t="shared" si="3"/>
        <v>945.5459011351486</v>
      </c>
      <c r="E90" s="1">
        <f t="shared" si="4"/>
        <v>163039.12895287492</v>
      </c>
      <c r="F90" s="1">
        <v>0</v>
      </c>
      <c r="G90" s="1"/>
      <c r="H90" s="1"/>
    </row>
    <row r="91" spans="1:8" x14ac:dyDescent="0.3">
      <c r="A91" t="s">
        <v>16</v>
      </c>
      <c r="B91" s="1">
        <f t="shared" si="5"/>
        <v>163039.12895287492</v>
      </c>
      <c r="C91" s="1">
        <v>1500</v>
      </c>
      <c r="D91" s="1">
        <f t="shared" si="3"/>
        <v>959.81158555843706</v>
      </c>
      <c r="E91" s="1">
        <f t="shared" si="4"/>
        <v>165498.94053843335</v>
      </c>
      <c r="F91" s="1">
        <v>0</v>
      </c>
      <c r="G91" s="1"/>
      <c r="H91" s="1"/>
    </row>
    <row r="92" spans="1:8" x14ac:dyDescent="0.3">
      <c r="A92" t="s">
        <v>17</v>
      </c>
      <c r="B92" s="1">
        <f t="shared" si="5"/>
        <v>165498.94053843335</v>
      </c>
      <c r="C92" s="1">
        <v>1500</v>
      </c>
      <c r="D92" s="1">
        <f t="shared" si="3"/>
        <v>974.16048647419461</v>
      </c>
      <c r="E92" s="1">
        <f t="shared" si="4"/>
        <v>167973.10102490755</v>
      </c>
      <c r="F92" s="1">
        <v>0</v>
      </c>
      <c r="G92" s="1"/>
      <c r="H92" s="1"/>
    </row>
    <row r="93" spans="1:8" x14ac:dyDescent="0.3">
      <c r="A93" t="s">
        <v>18</v>
      </c>
      <c r="B93" s="1">
        <f t="shared" si="5"/>
        <v>167973.10102490755</v>
      </c>
      <c r="C93" s="1">
        <v>1500</v>
      </c>
      <c r="D93" s="1">
        <f t="shared" si="3"/>
        <v>988.59308931196074</v>
      </c>
      <c r="E93" s="1">
        <f t="shared" si="4"/>
        <v>170461.69411421951</v>
      </c>
      <c r="F93" s="1">
        <v>0</v>
      </c>
      <c r="G93" s="1"/>
      <c r="H93" s="1"/>
    </row>
    <row r="94" spans="1:8" x14ac:dyDescent="0.3">
      <c r="A94" t="s">
        <v>19</v>
      </c>
      <c r="B94" s="1">
        <f t="shared" si="5"/>
        <v>170461.69411421951</v>
      </c>
      <c r="C94" s="1">
        <v>1500</v>
      </c>
      <c r="D94" s="1">
        <f t="shared" si="3"/>
        <v>1003.1098823329472</v>
      </c>
      <c r="E94" s="1">
        <f t="shared" si="4"/>
        <v>172964.80399655245</v>
      </c>
      <c r="F94" s="1">
        <v>0</v>
      </c>
      <c r="G94" s="1"/>
      <c r="H94" s="1"/>
    </row>
    <row r="95" spans="1:8" x14ac:dyDescent="0.3">
      <c r="A95" t="s">
        <v>20</v>
      </c>
      <c r="B95" s="1">
        <f t="shared" si="5"/>
        <v>172964.80399655245</v>
      </c>
      <c r="C95" s="1">
        <v>1500</v>
      </c>
      <c r="D95" s="1">
        <f t="shared" si="3"/>
        <v>1017.7113566465561</v>
      </c>
      <c r="E95" s="1">
        <f t="shared" si="4"/>
        <v>175482.51535319901</v>
      </c>
      <c r="F95" s="1">
        <v>0</v>
      </c>
      <c r="G95" s="1"/>
      <c r="H95" s="1"/>
    </row>
    <row r="96" spans="1:8" x14ac:dyDescent="0.3">
      <c r="A96" t="s">
        <v>21</v>
      </c>
      <c r="B96" s="1">
        <f t="shared" si="5"/>
        <v>175482.51535319901</v>
      </c>
      <c r="C96" s="1">
        <v>1500</v>
      </c>
      <c r="D96" s="1">
        <f t="shared" si="3"/>
        <v>1032.3980062269943</v>
      </c>
      <c r="E96" s="1">
        <f t="shared" si="4"/>
        <v>178014.91335942599</v>
      </c>
      <c r="F96" s="1">
        <v>0</v>
      </c>
      <c r="G96" s="1"/>
      <c r="H96" s="1"/>
    </row>
    <row r="97" spans="1:8" x14ac:dyDescent="0.3">
      <c r="A97" t="s">
        <v>22</v>
      </c>
      <c r="B97" s="1">
        <f t="shared" si="5"/>
        <v>178014.91335942599</v>
      </c>
      <c r="C97" s="1">
        <v>1500</v>
      </c>
      <c r="D97" s="1">
        <f t="shared" si="3"/>
        <v>1047.170327929985</v>
      </c>
      <c r="E97" s="1">
        <f t="shared" si="4"/>
        <v>180562.08368735597</v>
      </c>
      <c r="F97" s="1">
        <v>0</v>
      </c>
      <c r="G97" s="1"/>
      <c r="H97" s="1"/>
    </row>
    <row r="98" spans="1:8" x14ac:dyDescent="0.3">
      <c r="A98" t="s">
        <v>37</v>
      </c>
      <c r="B98" s="1">
        <f t="shared" si="5"/>
        <v>180562.08368735597</v>
      </c>
      <c r="C98" s="1">
        <v>1500</v>
      </c>
      <c r="D98" s="1">
        <f t="shared" si="3"/>
        <v>1062.0288215095766</v>
      </c>
      <c r="E98" s="1">
        <f t="shared" si="4"/>
        <v>183124.11250886554</v>
      </c>
      <c r="F98" s="1">
        <v>0</v>
      </c>
      <c r="G98" s="1"/>
      <c r="H98" s="1"/>
    </row>
    <row r="99" spans="1:8" x14ac:dyDescent="0.3">
      <c r="A99" t="s">
        <v>12</v>
      </c>
      <c r="B99" s="1">
        <f t="shared" si="5"/>
        <v>183124.11250886554</v>
      </c>
      <c r="C99" s="1">
        <v>1500</v>
      </c>
      <c r="D99" s="1">
        <f t="shared" si="3"/>
        <v>1076.9739896350491</v>
      </c>
      <c r="E99" s="1">
        <f t="shared" si="4"/>
        <v>185701.08649850058</v>
      </c>
      <c r="F99" s="1">
        <v>0</v>
      </c>
      <c r="G99" s="1"/>
      <c r="H99" s="1"/>
    </row>
    <row r="100" spans="1:8" x14ac:dyDescent="0.3">
      <c r="A100" t="s">
        <v>13</v>
      </c>
      <c r="B100" s="1">
        <f t="shared" si="5"/>
        <v>185701.08649850058</v>
      </c>
      <c r="C100" s="1">
        <v>1500</v>
      </c>
      <c r="D100" s="1">
        <f t="shared" si="3"/>
        <v>1092.0063379079202</v>
      </c>
      <c r="E100" s="1">
        <f t="shared" si="4"/>
        <v>188293.0928364085</v>
      </c>
      <c r="F100" s="1">
        <v>0</v>
      </c>
      <c r="G100" s="1"/>
      <c r="H100" s="1"/>
    </row>
    <row r="101" spans="1:8" x14ac:dyDescent="0.3">
      <c r="A101" t="s">
        <v>14</v>
      </c>
      <c r="B101" s="1">
        <f t="shared" si="5"/>
        <v>188293.0928364085</v>
      </c>
      <c r="C101" s="1">
        <v>1500</v>
      </c>
      <c r="D101" s="1">
        <f t="shared" si="3"/>
        <v>1107.1263748790495</v>
      </c>
      <c r="E101" s="1">
        <f t="shared" si="4"/>
        <v>190900.21921128753</v>
      </c>
      <c r="F101" s="1">
        <v>0</v>
      </c>
      <c r="G101" s="4">
        <v>2034</v>
      </c>
      <c r="H101" s="1">
        <v>3650</v>
      </c>
    </row>
    <row r="102" spans="1:8" x14ac:dyDescent="0.3">
      <c r="A102" t="s">
        <v>15</v>
      </c>
      <c r="B102" s="1">
        <f t="shared" si="5"/>
        <v>190900.21921128753</v>
      </c>
      <c r="C102" s="1">
        <v>1500</v>
      </c>
      <c r="D102" s="1">
        <f t="shared" si="3"/>
        <v>1122.3346120658441</v>
      </c>
      <c r="E102" s="1">
        <f t="shared" si="4"/>
        <v>193522.55382335337</v>
      </c>
      <c r="F102" s="1">
        <v>0</v>
      </c>
      <c r="G102" s="1"/>
      <c r="H102" s="1"/>
    </row>
    <row r="103" spans="1:8" x14ac:dyDescent="0.3">
      <c r="A103" t="s">
        <v>16</v>
      </c>
      <c r="B103" s="1">
        <f t="shared" si="5"/>
        <v>193522.55382335337</v>
      </c>
      <c r="C103" s="1">
        <v>1500</v>
      </c>
      <c r="D103" s="1">
        <f t="shared" si="3"/>
        <v>1137.6315639695613</v>
      </c>
      <c r="E103" s="1">
        <f t="shared" si="4"/>
        <v>196160.18538732294</v>
      </c>
      <c r="F103" s="1">
        <v>0</v>
      </c>
      <c r="G103" s="1"/>
      <c r="H103" s="1"/>
    </row>
    <row r="104" spans="1:8" x14ac:dyDescent="0.3">
      <c r="A104" t="s">
        <v>17</v>
      </c>
      <c r="B104" s="1">
        <f t="shared" si="5"/>
        <v>196160.18538732294</v>
      </c>
      <c r="C104" s="1">
        <v>1500</v>
      </c>
      <c r="D104" s="1">
        <f t="shared" si="3"/>
        <v>1153.0177480927173</v>
      </c>
      <c r="E104" s="1">
        <f t="shared" si="4"/>
        <v>198813.20313541565</v>
      </c>
      <c r="F104" s="1">
        <v>0</v>
      </c>
      <c r="G104" s="1"/>
      <c r="H104" s="1"/>
    </row>
    <row r="105" spans="1:8" x14ac:dyDescent="0.3">
      <c r="A105" t="s">
        <v>18</v>
      </c>
      <c r="B105" s="1">
        <f t="shared" si="5"/>
        <v>198813.20313541565</v>
      </c>
      <c r="C105" s="1">
        <v>1500</v>
      </c>
      <c r="D105" s="1">
        <f t="shared" si="3"/>
        <v>1168.4936849565913</v>
      </c>
      <c r="E105" s="1">
        <f t="shared" si="4"/>
        <v>201481.69682037225</v>
      </c>
      <c r="F105" s="1">
        <v>0</v>
      </c>
      <c r="G105" s="1"/>
      <c r="H105" s="1"/>
    </row>
    <row r="106" spans="1:8" x14ac:dyDescent="0.3">
      <c r="A106" t="s">
        <v>19</v>
      </c>
      <c r="B106" s="1">
        <f t="shared" si="5"/>
        <v>201481.69682037225</v>
      </c>
      <c r="C106" s="1">
        <v>1500</v>
      </c>
      <c r="D106" s="1">
        <f t="shared" si="3"/>
        <v>1184.0598981188382</v>
      </c>
      <c r="E106" s="1">
        <f t="shared" si="4"/>
        <v>204165.75671849109</v>
      </c>
      <c r="F106" s="1">
        <v>0</v>
      </c>
      <c r="G106" s="1"/>
      <c r="H106" s="1"/>
    </row>
    <row r="107" spans="1:8" x14ac:dyDescent="0.3">
      <c r="A107" t="s">
        <v>20</v>
      </c>
      <c r="B107" s="1">
        <f t="shared" si="5"/>
        <v>204165.75671849109</v>
      </c>
      <c r="C107" s="1">
        <v>1500</v>
      </c>
      <c r="D107" s="1">
        <f t="shared" si="3"/>
        <v>1199.7169141911982</v>
      </c>
      <c r="E107" s="1">
        <f t="shared" si="4"/>
        <v>206865.47363268229</v>
      </c>
      <c r="F107" s="1">
        <v>0</v>
      </c>
      <c r="G107" s="1"/>
      <c r="H107" s="1"/>
    </row>
    <row r="108" spans="1:8" x14ac:dyDescent="0.3">
      <c r="A108" t="s">
        <v>21</v>
      </c>
      <c r="B108" s="1">
        <f t="shared" si="5"/>
        <v>206865.47363268229</v>
      </c>
      <c r="C108" s="1">
        <v>1500</v>
      </c>
      <c r="D108" s="1">
        <f t="shared" si="3"/>
        <v>1215.4652628573135</v>
      </c>
      <c r="E108" s="1">
        <f t="shared" si="4"/>
        <v>209580.93889553961</v>
      </c>
      <c r="F108" s="1">
        <v>0</v>
      </c>
      <c r="G108" s="1"/>
      <c r="H108" s="1"/>
    </row>
    <row r="109" spans="1:8" x14ac:dyDescent="0.3">
      <c r="A109" t="s">
        <v>22</v>
      </c>
      <c r="B109" s="1">
        <f t="shared" si="5"/>
        <v>209580.93889553961</v>
      </c>
      <c r="C109" s="1">
        <v>1500</v>
      </c>
      <c r="D109" s="1">
        <f t="shared" si="3"/>
        <v>1231.3054768906477</v>
      </c>
      <c r="E109" s="1">
        <f t="shared" si="4"/>
        <v>212312.24437243026</v>
      </c>
      <c r="F109" s="1">
        <v>0</v>
      </c>
      <c r="G109" s="1"/>
      <c r="H109" s="1"/>
    </row>
    <row r="110" spans="1:8" x14ac:dyDescent="0.3">
      <c r="A110" t="s">
        <v>38</v>
      </c>
      <c r="B110" s="1">
        <f t="shared" si="5"/>
        <v>212312.24437243026</v>
      </c>
      <c r="C110" s="1">
        <v>1500</v>
      </c>
      <c r="D110" s="1">
        <f t="shared" si="3"/>
        <v>1247.2380921725098</v>
      </c>
      <c r="E110" s="1">
        <f t="shared" si="4"/>
        <v>215059.48246460277</v>
      </c>
      <c r="F110" s="1">
        <v>0</v>
      </c>
      <c r="G110" s="1"/>
      <c r="H110" s="1"/>
    </row>
    <row r="111" spans="1:8" x14ac:dyDescent="0.3">
      <c r="A111" t="s">
        <v>12</v>
      </c>
      <c r="B111" s="1">
        <f t="shared" si="5"/>
        <v>215059.48246460277</v>
      </c>
      <c r="C111" s="1">
        <v>1500</v>
      </c>
      <c r="D111" s="1">
        <f t="shared" si="3"/>
        <v>1263.2636477101828</v>
      </c>
      <c r="E111" s="1">
        <f t="shared" si="4"/>
        <v>217822.74611231295</v>
      </c>
      <c r="F111" s="1">
        <v>0</v>
      </c>
      <c r="G111" s="1"/>
      <c r="H111" s="1"/>
    </row>
    <row r="112" spans="1:8" x14ac:dyDescent="0.3">
      <c r="A112" t="s">
        <v>13</v>
      </c>
      <c r="B112" s="1">
        <f t="shared" si="5"/>
        <v>217822.74611231295</v>
      </c>
      <c r="C112" s="1">
        <v>1500</v>
      </c>
      <c r="D112" s="1">
        <f t="shared" si="3"/>
        <v>1279.3826856551589</v>
      </c>
      <c r="E112" s="1">
        <f t="shared" si="4"/>
        <v>220602.12879796809</v>
      </c>
      <c r="F112" s="1">
        <v>0</v>
      </c>
      <c r="G112" s="1"/>
      <c r="H112" s="1"/>
    </row>
    <row r="113" spans="1:8" x14ac:dyDescent="0.3">
      <c r="A113" t="s">
        <v>14</v>
      </c>
      <c r="B113" s="1">
        <f t="shared" si="5"/>
        <v>220602.12879796809</v>
      </c>
      <c r="C113" s="1">
        <v>1500</v>
      </c>
      <c r="D113" s="1">
        <f t="shared" si="3"/>
        <v>1295.5957513214805</v>
      </c>
      <c r="E113" s="1">
        <f t="shared" si="4"/>
        <v>223397.72454928956</v>
      </c>
      <c r="F113" s="1">
        <v>0</v>
      </c>
      <c r="G113" s="4">
        <v>2035</v>
      </c>
      <c r="H113" s="1">
        <v>3850</v>
      </c>
    </row>
    <row r="114" spans="1:8" x14ac:dyDescent="0.3">
      <c r="A114" t="s">
        <v>15</v>
      </c>
      <c r="B114" s="1">
        <f t="shared" si="5"/>
        <v>223397.72454928956</v>
      </c>
      <c r="C114" s="1">
        <v>1500</v>
      </c>
      <c r="D114" s="1">
        <f t="shared" si="3"/>
        <v>1311.9033932041891</v>
      </c>
      <c r="E114" s="1">
        <f t="shared" si="4"/>
        <v>226209.62794249374</v>
      </c>
      <c r="F114" s="1">
        <v>0</v>
      </c>
      <c r="G114" s="1"/>
      <c r="H114" s="1"/>
    </row>
    <row r="115" spans="1:8" x14ac:dyDescent="0.3">
      <c r="A115" t="s">
        <v>16</v>
      </c>
      <c r="B115" s="1">
        <f t="shared" si="5"/>
        <v>226209.62794249374</v>
      </c>
      <c r="C115" s="1">
        <v>1500</v>
      </c>
      <c r="D115" s="1">
        <f t="shared" si="3"/>
        <v>1328.3061629978802</v>
      </c>
      <c r="E115" s="1">
        <f t="shared" si="4"/>
        <v>229037.93410549161</v>
      </c>
      <c r="F115" s="1">
        <v>0</v>
      </c>
      <c r="G115" s="1"/>
      <c r="H115" s="1"/>
    </row>
    <row r="116" spans="1:8" x14ac:dyDescent="0.3">
      <c r="A116" t="s">
        <v>17</v>
      </c>
      <c r="B116" s="1">
        <f t="shared" si="5"/>
        <v>229037.93410549161</v>
      </c>
      <c r="C116" s="1">
        <v>1500</v>
      </c>
      <c r="D116" s="1">
        <f t="shared" si="3"/>
        <v>1344.8046156153678</v>
      </c>
      <c r="E116" s="1">
        <f t="shared" si="4"/>
        <v>231882.73872110699</v>
      </c>
      <c r="F116" s="1">
        <v>0</v>
      </c>
      <c r="G116" s="1"/>
      <c r="H116" s="1"/>
    </row>
    <row r="117" spans="1:8" x14ac:dyDescent="0.3">
      <c r="A117" t="s">
        <v>18</v>
      </c>
      <c r="B117" s="1">
        <f t="shared" si="5"/>
        <v>231882.73872110699</v>
      </c>
      <c r="C117" s="1">
        <v>1500</v>
      </c>
      <c r="D117" s="1">
        <f t="shared" si="3"/>
        <v>1361.3993092064575</v>
      </c>
      <c r="E117" s="1">
        <f t="shared" si="4"/>
        <v>234744.13803031345</v>
      </c>
      <c r="F117" s="1">
        <v>0</v>
      </c>
      <c r="G117" s="1"/>
      <c r="H117" s="1"/>
    </row>
    <row r="118" spans="1:8" x14ac:dyDescent="0.3">
      <c r="A118" t="s">
        <v>19</v>
      </c>
      <c r="B118" s="1">
        <f t="shared" si="5"/>
        <v>234744.13803031345</v>
      </c>
      <c r="C118" s="1">
        <v>1500</v>
      </c>
      <c r="D118" s="1">
        <f t="shared" si="3"/>
        <v>1378.0908051768286</v>
      </c>
      <c r="E118" s="1">
        <f t="shared" si="4"/>
        <v>237622.22883549027</v>
      </c>
      <c r="F118" s="1">
        <v>0</v>
      </c>
      <c r="G118" s="1"/>
      <c r="H118" s="1"/>
    </row>
    <row r="119" spans="1:8" x14ac:dyDescent="0.3">
      <c r="A119" t="s">
        <v>20</v>
      </c>
      <c r="B119" s="1">
        <f t="shared" si="5"/>
        <v>237622.22883549027</v>
      </c>
      <c r="C119" s="1">
        <v>1500</v>
      </c>
      <c r="D119" s="1">
        <f t="shared" si="3"/>
        <v>1394.8796682070267</v>
      </c>
      <c r="E119" s="1">
        <f t="shared" si="4"/>
        <v>240517.10850369729</v>
      </c>
      <c r="F119" s="1">
        <v>0</v>
      </c>
      <c r="G119" s="1"/>
      <c r="H119" s="1"/>
    </row>
    <row r="120" spans="1:8" x14ac:dyDescent="0.3">
      <c r="A120" t="s">
        <v>21</v>
      </c>
      <c r="B120" s="1">
        <f t="shared" si="5"/>
        <v>240517.10850369729</v>
      </c>
      <c r="C120" s="1">
        <v>1500</v>
      </c>
      <c r="D120" s="1">
        <f t="shared" si="3"/>
        <v>1411.7664662715677</v>
      </c>
      <c r="E120" s="1">
        <f t="shared" si="4"/>
        <v>243428.87496996886</v>
      </c>
      <c r="F120" s="1">
        <v>0</v>
      </c>
      <c r="G120" s="1"/>
      <c r="H120" s="1"/>
    </row>
    <row r="121" spans="1:8" x14ac:dyDescent="0.3">
      <c r="A121" t="s">
        <v>22</v>
      </c>
      <c r="B121" s="1">
        <f t="shared" si="5"/>
        <v>243428.87496996886</v>
      </c>
      <c r="C121" s="1">
        <v>1500</v>
      </c>
      <c r="D121" s="1">
        <f t="shared" si="3"/>
        <v>1428.7517706581518</v>
      </c>
      <c r="E121" s="1">
        <f t="shared" si="4"/>
        <v>246357.62674062702</v>
      </c>
      <c r="F121" s="1">
        <v>0</v>
      </c>
      <c r="G121" s="1"/>
      <c r="H121" s="1"/>
    </row>
    <row r="122" spans="1:8" x14ac:dyDescent="0.3">
      <c r="A122" t="s">
        <v>39</v>
      </c>
      <c r="B122" s="1">
        <f t="shared" si="5"/>
        <v>246357.62674062702</v>
      </c>
      <c r="C122" s="1">
        <v>1500</v>
      </c>
      <c r="D122" s="1">
        <f t="shared" si="3"/>
        <v>1445.8361559869911</v>
      </c>
      <c r="E122" s="1">
        <f t="shared" si="4"/>
        <v>249303.46289661402</v>
      </c>
      <c r="F122" s="1">
        <v>0</v>
      </c>
      <c r="G122" s="1"/>
      <c r="H122" s="1"/>
    </row>
    <row r="123" spans="1:8" x14ac:dyDescent="0.3">
      <c r="A123" t="s">
        <v>12</v>
      </c>
      <c r="B123" s="1">
        <f t="shared" si="5"/>
        <v>249303.46289661402</v>
      </c>
      <c r="C123" s="1">
        <v>1500</v>
      </c>
      <c r="D123" s="1">
        <f t="shared" si="3"/>
        <v>1463.0202002302485</v>
      </c>
      <c r="E123" s="1">
        <f t="shared" si="4"/>
        <v>252266.48309684425</v>
      </c>
      <c r="F123" s="1">
        <v>0</v>
      </c>
      <c r="G123" s="1"/>
      <c r="H123" s="1"/>
    </row>
    <row r="124" spans="1:8" x14ac:dyDescent="0.3">
      <c r="A124" t="s">
        <v>13</v>
      </c>
      <c r="B124" s="1">
        <f t="shared" si="5"/>
        <v>252266.48309684425</v>
      </c>
      <c r="C124" s="1">
        <v>1500</v>
      </c>
      <c r="D124" s="1">
        <f t="shared" si="3"/>
        <v>1480.3044847315916</v>
      </c>
      <c r="E124" s="1">
        <f t="shared" si="4"/>
        <v>255246.78758157586</v>
      </c>
      <c r="F124" s="1">
        <v>0</v>
      </c>
      <c r="G124" s="1"/>
      <c r="H124" s="1"/>
    </row>
    <row r="125" spans="1:8" x14ac:dyDescent="0.3">
      <c r="A125" t="s">
        <v>14</v>
      </c>
      <c r="B125" s="1">
        <f t="shared" si="5"/>
        <v>255246.78758157586</v>
      </c>
      <c r="C125" s="1">
        <v>1500</v>
      </c>
      <c r="D125" s="1">
        <f t="shared" si="3"/>
        <v>1497.6895942258593</v>
      </c>
      <c r="E125" s="1">
        <f t="shared" si="4"/>
        <v>258244.47717580173</v>
      </c>
      <c r="F125" s="1">
        <v>0</v>
      </c>
      <c r="G125" s="4">
        <v>2036</v>
      </c>
      <c r="H125" s="1">
        <v>4050</v>
      </c>
    </row>
    <row r="126" spans="1:8" x14ac:dyDescent="0.3">
      <c r="A126" t="s">
        <v>15</v>
      </c>
      <c r="B126" s="1">
        <f t="shared" si="5"/>
        <v>258244.47717580173</v>
      </c>
      <c r="C126" s="1">
        <v>1500</v>
      </c>
      <c r="D126" s="1">
        <f t="shared" si="3"/>
        <v>1515.1761168588434</v>
      </c>
      <c r="E126" s="1">
        <f t="shared" si="4"/>
        <v>261259.65329266057</v>
      </c>
      <c r="F126" s="1">
        <v>0</v>
      </c>
      <c r="G126" s="1"/>
      <c r="H126" s="1"/>
    </row>
    <row r="127" spans="1:8" x14ac:dyDescent="0.3">
      <c r="A127" t="s">
        <v>16</v>
      </c>
      <c r="B127" s="1">
        <f t="shared" si="5"/>
        <v>261259.65329266057</v>
      </c>
      <c r="C127" s="1">
        <v>1500</v>
      </c>
      <c r="D127" s="1">
        <f t="shared" si="3"/>
        <v>1532.7646442071868</v>
      </c>
      <c r="E127" s="1">
        <f t="shared" si="4"/>
        <v>264292.4179368678</v>
      </c>
      <c r="F127" s="1">
        <v>0</v>
      </c>
      <c r="G127" s="1"/>
      <c r="H127" s="1"/>
    </row>
    <row r="128" spans="1:8" x14ac:dyDescent="0.3">
      <c r="A128" t="s">
        <v>17</v>
      </c>
      <c r="B128" s="1">
        <f t="shared" si="5"/>
        <v>264292.4179368678</v>
      </c>
      <c r="C128" s="1">
        <v>1500</v>
      </c>
      <c r="D128" s="1">
        <f t="shared" si="3"/>
        <v>1550.4557712983956</v>
      </c>
      <c r="E128" s="1">
        <f t="shared" si="4"/>
        <v>267342.87370816618</v>
      </c>
      <c r="F128" s="1">
        <v>0</v>
      </c>
      <c r="G128" s="1"/>
      <c r="H128" s="1"/>
    </row>
    <row r="129" spans="1:8" x14ac:dyDescent="0.3">
      <c r="A129" t="s">
        <v>18</v>
      </c>
      <c r="B129" s="1">
        <f t="shared" si="5"/>
        <v>267342.87370816618</v>
      </c>
      <c r="C129" s="1">
        <v>1500</v>
      </c>
      <c r="D129" s="1">
        <f t="shared" si="3"/>
        <v>1568.2500966309694</v>
      </c>
      <c r="E129" s="1">
        <f t="shared" si="4"/>
        <v>270411.12380479713</v>
      </c>
      <c r="F129" s="1">
        <v>0</v>
      </c>
      <c r="G129" s="1"/>
      <c r="H129" s="1"/>
    </row>
    <row r="130" spans="1:8" x14ac:dyDescent="0.3">
      <c r="A130" t="s">
        <v>19</v>
      </c>
      <c r="B130" s="1">
        <f t="shared" si="5"/>
        <v>270411.12380479713</v>
      </c>
      <c r="C130" s="1">
        <v>1500</v>
      </c>
      <c r="D130" s="1">
        <f t="shared" ref="D130:D169" si="6">(0.07/12)*(B130+C130)</f>
        <v>1586.1482221946501</v>
      </c>
      <c r="E130" s="1">
        <f t="shared" si="4"/>
        <v>273497.27202699176</v>
      </c>
      <c r="F130" s="1">
        <v>0</v>
      </c>
      <c r="G130" s="1"/>
      <c r="H130" s="1"/>
    </row>
    <row r="131" spans="1:8" x14ac:dyDescent="0.3">
      <c r="A131" t="s">
        <v>20</v>
      </c>
      <c r="B131" s="1">
        <f t="shared" si="5"/>
        <v>273497.27202699176</v>
      </c>
      <c r="C131" s="1">
        <v>1500</v>
      </c>
      <c r="D131" s="1">
        <f t="shared" si="6"/>
        <v>1604.1507534907853</v>
      </c>
      <c r="E131" s="1">
        <f t="shared" si="4"/>
        <v>276601.42278048256</v>
      </c>
      <c r="F131" s="1">
        <v>0</v>
      </c>
      <c r="G131" s="1"/>
      <c r="H131" s="1"/>
    </row>
    <row r="132" spans="1:8" x14ac:dyDescent="0.3">
      <c r="A132" t="s">
        <v>21</v>
      </c>
      <c r="B132" s="1">
        <f t="shared" si="5"/>
        <v>276601.42278048256</v>
      </c>
      <c r="C132" s="1">
        <v>1500</v>
      </c>
      <c r="D132" s="1">
        <f t="shared" si="6"/>
        <v>1622.2582995528151</v>
      </c>
      <c r="E132" s="1">
        <f t="shared" ref="E132:E169" si="7">B132+C132+D132-F132</f>
        <v>279723.6810800354</v>
      </c>
      <c r="F132" s="1">
        <v>0</v>
      </c>
      <c r="G132" s="1"/>
      <c r="H132" s="1"/>
    </row>
    <row r="133" spans="1:8" x14ac:dyDescent="0.3">
      <c r="A133" t="s">
        <v>22</v>
      </c>
      <c r="B133" s="1">
        <f t="shared" ref="B133:B169" si="8">E132</f>
        <v>279723.6810800354</v>
      </c>
      <c r="C133" s="1">
        <v>1500</v>
      </c>
      <c r="D133" s="1">
        <f t="shared" si="6"/>
        <v>1640.4714729668733</v>
      </c>
      <c r="E133" s="1">
        <f t="shared" si="7"/>
        <v>282864.15255300229</v>
      </c>
      <c r="F133" s="1">
        <v>0</v>
      </c>
      <c r="G133" s="1"/>
      <c r="H133" s="1"/>
    </row>
    <row r="134" spans="1:8" x14ac:dyDescent="0.3">
      <c r="A134" t="s">
        <v>40</v>
      </c>
      <c r="B134" s="1">
        <f t="shared" si="8"/>
        <v>282864.15255300229</v>
      </c>
      <c r="C134" s="1">
        <v>1500</v>
      </c>
      <c r="D134" s="1">
        <f t="shared" si="6"/>
        <v>1658.7908898925134</v>
      </c>
      <c r="E134" s="1">
        <f t="shared" si="7"/>
        <v>286022.94344289479</v>
      </c>
      <c r="F134" s="1">
        <v>0</v>
      </c>
      <c r="G134" s="1"/>
      <c r="H134" s="1"/>
    </row>
    <row r="135" spans="1:8" x14ac:dyDescent="0.3">
      <c r="A135" t="s">
        <v>12</v>
      </c>
      <c r="B135" s="1">
        <f t="shared" si="8"/>
        <v>286022.94344289479</v>
      </c>
      <c r="C135" s="1">
        <v>1500</v>
      </c>
      <c r="D135" s="1">
        <f t="shared" si="6"/>
        <v>1677.2171700835529</v>
      </c>
      <c r="E135" s="1">
        <f t="shared" si="7"/>
        <v>289200.16061297833</v>
      </c>
      <c r="F135" s="1">
        <v>0</v>
      </c>
      <c r="G135" s="1"/>
      <c r="H135" s="1"/>
    </row>
    <row r="136" spans="1:8" x14ac:dyDescent="0.3">
      <c r="A136" t="s">
        <v>13</v>
      </c>
      <c r="B136" s="1">
        <f t="shared" si="8"/>
        <v>289200.16061297833</v>
      </c>
      <c r="C136" s="1">
        <v>1500</v>
      </c>
      <c r="D136" s="1">
        <f t="shared" si="6"/>
        <v>1695.7509369090403</v>
      </c>
      <c r="E136" s="1">
        <f t="shared" si="7"/>
        <v>292395.91154988739</v>
      </c>
      <c r="F136" s="1">
        <v>0</v>
      </c>
      <c r="G136" s="1"/>
      <c r="H136" s="1"/>
    </row>
    <row r="137" spans="1:8" x14ac:dyDescent="0.3">
      <c r="A137" t="s">
        <v>14</v>
      </c>
      <c r="B137" s="1">
        <f t="shared" si="8"/>
        <v>292395.91154988739</v>
      </c>
      <c r="C137" s="1">
        <v>1500</v>
      </c>
      <c r="D137" s="1">
        <f t="shared" si="6"/>
        <v>1714.3928173743432</v>
      </c>
      <c r="E137" s="1">
        <f t="shared" si="7"/>
        <v>295610.30436726171</v>
      </c>
      <c r="F137" s="1">
        <v>0</v>
      </c>
      <c r="G137" s="4">
        <v>2037</v>
      </c>
      <c r="H137" s="1">
        <v>4250</v>
      </c>
    </row>
    <row r="138" spans="1:8" x14ac:dyDescent="0.3">
      <c r="A138" t="s">
        <v>15</v>
      </c>
      <c r="B138" s="1">
        <f t="shared" si="8"/>
        <v>295610.30436726171</v>
      </c>
      <c r="C138" s="1">
        <v>1500</v>
      </c>
      <c r="D138" s="1">
        <f t="shared" si="6"/>
        <v>1733.1434421423601</v>
      </c>
      <c r="E138" s="1">
        <f t="shared" si="7"/>
        <v>298843.44780940405</v>
      </c>
      <c r="F138" s="1">
        <v>0</v>
      </c>
      <c r="G138" s="1"/>
      <c r="H138" s="1"/>
    </row>
    <row r="139" spans="1:8" x14ac:dyDescent="0.3">
      <c r="A139" t="s">
        <v>16</v>
      </c>
      <c r="B139" s="1">
        <f t="shared" si="8"/>
        <v>298843.44780940405</v>
      </c>
      <c r="C139" s="1">
        <v>1500</v>
      </c>
      <c r="D139" s="1">
        <f t="shared" si="6"/>
        <v>1752.0034455548571</v>
      </c>
      <c r="E139" s="1">
        <f t="shared" si="7"/>
        <v>302095.45125495893</v>
      </c>
      <c r="F139" s="1">
        <v>0</v>
      </c>
      <c r="G139" s="1"/>
      <c r="H139" s="1"/>
    </row>
    <row r="140" spans="1:8" x14ac:dyDescent="0.3">
      <c r="A140" t="s">
        <v>17</v>
      </c>
      <c r="B140" s="1">
        <f t="shared" si="8"/>
        <v>302095.45125495893</v>
      </c>
      <c r="C140" s="1">
        <v>1500</v>
      </c>
      <c r="D140" s="1">
        <f t="shared" si="6"/>
        <v>1770.9734656539272</v>
      </c>
      <c r="E140" s="1">
        <f t="shared" si="7"/>
        <v>305366.42472061288</v>
      </c>
      <c r="F140" s="1">
        <v>0</v>
      </c>
      <c r="G140" s="1"/>
      <c r="H140" s="1"/>
    </row>
    <row r="141" spans="1:8" x14ac:dyDescent="0.3">
      <c r="A141" t="s">
        <v>18</v>
      </c>
      <c r="B141" s="1">
        <f t="shared" si="8"/>
        <v>305366.42472061288</v>
      </c>
      <c r="C141" s="1">
        <v>1500</v>
      </c>
      <c r="D141" s="1">
        <f t="shared" si="6"/>
        <v>1790.0541442035751</v>
      </c>
      <c r="E141" s="1">
        <f t="shared" si="7"/>
        <v>308656.47886481642</v>
      </c>
      <c r="F141" s="1">
        <v>0</v>
      </c>
      <c r="G141" s="1"/>
      <c r="H141" s="1"/>
    </row>
    <row r="142" spans="1:8" x14ac:dyDescent="0.3">
      <c r="A142" t="s">
        <v>19</v>
      </c>
      <c r="B142" s="1">
        <f t="shared" si="8"/>
        <v>308656.47886481642</v>
      </c>
      <c r="C142" s="1">
        <v>1500</v>
      </c>
      <c r="D142" s="1">
        <f t="shared" si="6"/>
        <v>1809.2461267114293</v>
      </c>
      <c r="E142" s="1">
        <f t="shared" si="7"/>
        <v>311965.72499152785</v>
      </c>
      <c r="F142" s="1">
        <v>0</v>
      </c>
      <c r="G142" s="1"/>
      <c r="H142" s="1"/>
    </row>
    <row r="143" spans="1:8" x14ac:dyDescent="0.3">
      <c r="A143" t="s">
        <v>20</v>
      </c>
      <c r="B143" s="1">
        <f t="shared" si="8"/>
        <v>311965.72499152785</v>
      </c>
      <c r="C143" s="1">
        <v>1500</v>
      </c>
      <c r="D143" s="1">
        <f t="shared" si="6"/>
        <v>1828.5500624505792</v>
      </c>
      <c r="E143" s="1">
        <f t="shared" si="7"/>
        <v>315294.27505397843</v>
      </c>
      <c r="F143" s="1">
        <v>0</v>
      </c>
      <c r="G143" s="1"/>
      <c r="H143" s="1"/>
    </row>
    <row r="144" spans="1:8" x14ac:dyDescent="0.3">
      <c r="A144" t="s">
        <v>21</v>
      </c>
      <c r="B144" s="1">
        <f t="shared" si="8"/>
        <v>315294.27505397843</v>
      </c>
      <c r="C144" s="1">
        <v>1500</v>
      </c>
      <c r="D144" s="1">
        <f t="shared" si="6"/>
        <v>1847.966604481541</v>
      </c>
      <c r="E144" s="1">
        <f t="shared" si="7"/>
        <v>318642.24165846</v>
      </c>
      <c r="F144" s="1">
        <v>0</v>
      </c>
      <c r="G144" s="1"/>
      <c r="H144" s="1"/>
    </row>
    <row r="145" spans="1:8" x14ac:dyDescent="0.3">
      <c r="A145" t="s">
        <v>22</v>
      </c>
      <c r="B145" s="1">
        <f t="shared" si="8"/>
        <v>318642.24165846</v>
      </c>
      <c r="C145" s="1">
        <v>1500</v>
      </c>
      <c r="D145" s="1">
        <f t="shared" si="6"/>
        <v>1867.4964096743502</v>
      </c>
      <c r="E145" s="1">
        <f t="shared" si="7"/>
        <v>322009.73806813435</v>
      </c>
      <c r="F145" s="1">
        <v>0</v>
      </c>
      <c r="G145" s="1"/>
      <c r="H145" s="1"/>
    </row>
    <row r="146" spans="1:8" x14ac:dyDescent="0.3">
      <c r="A146" t="s">
        <v>41</v>
      </c>
      <c r="B146" s="1">
        <f t="shared" si="8"/>
        <v>322009.73806813435</v>
      </c>
      <c r="C146" s="1">
        <v>1500</v>
      </c>
      <c r="D146" s="1">
        <f t="shared" si="6"/>
        <v>1887.1401387307837</v>
      </c>
      <c r="E146" s="1">
        <f t="shared" si="7"/>
        <v>325396.87820686511</v>
      </c>
      <c r="F146" s="1">
        <v>0</v>
      </c>
      <c r="G146" s="1"/>
      <c r="H146" s="1"/>
    </row>
    <row r="147" spans="1:8" x14ac:dyDescent="0.3">
      <c r="A147" t="s">
        <v>12</v>
      </c>
      <c r="B147" s="1">
        <f t="shared" si="8"/>
        <v>325396.87820686511</v>
      </c>
      <c r="C147" s="1">
        <v>1500</v>
      </c>
      <c r="D147" s="1">
        <f t="shared" si="6"/>
        <v>1906.8984562067133</v>
      </c>
      <c r="E147" s="1">
        <f t="shared" si="7"/>
        <v>328803.77666307183</v>
      </c>
      <c r="F147" s="1">
        <v>0</v>
      </c>
      <c r="G147" s="1"/>
      <c r="H147" s="1"/>
    </row>
    <row r="148" spans="1:8" x14ac:dyDescent="0.3">
      <c r="A148" t="s">
        <v>13</v>
      </c>
      <c r="B148" s="1">
        <f t="shared" si="8"/>
        <v>328803.77666307183</v>
      </c>
      <c r="C148" s="1">
        <v>1500</v>
      </c>
      <c r="D148" s="1">
        <f t="shared" si="6"/>
        <v>1926.7720305345858</v>
      </c>
      <c r="E148" s="1">
        <f t="shared" si="7"/>
        <v>332230.5486936064</v>
      </c>
      <c r="F148" s="1">
        <v>0</v>
      </c>
      <c r="G148" s="1"/>
      <c r="H148" s="1"/>
    </row>
    <row r="149" spans="1:8" x14ac:dyDescent="0.3">
      <c r="A149" t="s">
        <v>14</v>
      </c>
      <c r="B149" s="1">
        <f t="shared" si="8"/>
        <v>332230.5486936064</v>
      </c>
      <c r="C149" s="1">
        <v>1500</v>
      </c>
      <c r="D149" s="1">
        <f t="shared" si="6"/>
        <v>1946.7615340460375</v>
      </c>
      <c r="E149" s="1">
        <f t="shared" si="7"/>
        <v>335677.31022765243</v>
      </c>
      <c r="F149" s="1">
        <v>0</v>
      </c>
      <c r="G149" s="4">
        <v>2038</v>
      </c>
      <c r="H149" s="1">
        <v>4450</v>
      </c>
    </row>
    <row r="150" spans="1:8" x14ac:dyDescent="0.3">
      <c r="A150" t="s">
        <v>15</v>
      </c>
      <c r="B150" s="1">
        <f t="shared" si="8"/>
        <v>335677.31022765243</v>
      </c>
      <c r="C150" s="1">
        <v>1500</v>
      </c>
      <c r="D150" s="1">
        <f t="shared" si="6"/>
        <v>1966.8676429946393</v>
      </c>
      <c r="E150" s="1">
        <f t="shared" si="7"/>
        <v>339144.17787064705</v>
      </c>
      <c r="F150" s="1">
        <v>0</v>
      </c>
      <c r="G150" s="1"/>
      <c r="H150" s="1"/>
    </row>
    <row r="151" spans="1:8" x14ac:dyDescent="0.3">
      <c r="A151" t="s">
        <v>16</v>
      </c>
      <c r="B151" s="1">
        <f t="shared" si="8"/>
        <v>339144.17787064705</v>
      </c>
      <c r="C151" s="1">
        <v>1500</v>
      </c>
      <c r="D151" s="1">
        <f t="shared" si="6"/>
        <v>1987.0910375787746</v>
      </c>
      <c r="E151" s="1">
        <f t="shared" si="7"/>
        <v>342631.26890822581</v>
      </c>
      <c r="F151" s="1">
        <v>0</v>
      </c>
      <c r="G151" s="1"/>
      <c r="H151" s="1"/>
    </row>
    <row r="152" spans="1:8" x14ac:dyDescent="0.3">
      <c r="A152" t="s">
        <v>17</v>
      </c>
      <c r="B152" s="1">
        <f t="shared" si="8"/>
        <v>342631.26890822581</v>
      </c>
      <c r="C152" s="1">
        <v>1500</v>
      </c>
      <c r="D152" s="1">
        <f t="shared" si="6"/>
        <v>2007.4324019646506</v>
      </c>
      <c r="E152" s="1">
        <f t="shared" si="7"/>
        <v>346138.70131019049</v>
      </c>
      <c r="F152" s="1">
        <v>0</v>
      </c>
      <c r="G152" s="1"/>
      <c r="H152" s="1"/>
    </row>
    <row r="153" spans="1:8" x14ac:dyDescent="0.3">
      <c r="A153" t="s">
        <v>18</v>
      </c>
      <c r="B153" s="1">
        <f t="shared" si="8"/>
        <v>346138.70131019049</v>
      </c>
      <c r="C153" s="1">
        <v>1500</v>
      </c>
      <c r="D153" s="1">
        <f t="shared" si="6"/>
        <v>2027.8924243094446</v>
      </c>
      <c r="E153" s="1">
        <f t="shared" si="7"/>
        <v>349666.59373449994</v>
      </c>
      <c r="F153" s="1">
        <v>0</v>
      </c>
      <c r="G153" s="1"/>
      <c r="H153" s="1"/>
    </row>
    <row r="154" spans="1:8" x14ac:dyDescent="0.3">
      <c r="A154" t="s">
        <v>19</v>
      </c>
      <c r="B154" s="1">
        <f t="shared" si="8"/>
        <v>349666.59373449994</v>
      </c>
      <c r="C154" s="1">
        <v>1500</v>
      </c>
      <c r="D154" s="1">
        <f t="shared" si="6"/>
        <v>2048.4717967845831</v>
      </c>
      <c r="E154" s="1">
        <f t="shared" si="7"/>
        <v>353215.06553128455</v>
      </c>
      <c r="F154" s="1">
        <v>0</v>
      </c>
      <c r="G154" s="1"/>
      <c r="H154" s="1"/>
    </row>
    <row r="155" spans="1:8" x14ac:dyDescent="0.3">
      <c r="A155" t="s">
        <v>20</v>
      </c>
      <c r="B155" s="1">
        <f t="shared" si="8"/>
        <v>353215.06553128455</v>
      </c>
      <c r="C155" s="1">
        <v>1500</v>
      </c>
      <c r="D155" s="1">
        <f t="shared" si="6"/>
        <v>2069.17121559916</v>
      </c>
      <c r="E155" s="1">
        <f t="shared" si="7"/>
        <v>356784.23674688372</v>
      </c>
      <c r="F155" s="1">
        <v>0</v>
      </c>
      <c r="G155" s="1"/>
      <c r="H155" s="1"/>
    </row>
    <row r="156" spans="1:8" x14ac:dyDescent="0.3">
      <c r="A156" t="s">
        <v>21</v>
      </c>
      <c r="B156" s="1">
        <f t="shared" si="8"/>
        <v>356784.23674688372</v>
      </c>
      <c r="C156" s="1">
        <v>1500</v>
      </c>
      <c r="D156" s="1">
        <f t="shared" si="6"/>
        <v>2089.9913810234884</v>
      </c>
      <c r="E156" s="1">
        <f t="shared" si="7"/>
        <v>360374.2281279072</v>
      </c>
      <c r="F156" s="1">
        <v>0</v>
      </c>
      <c r="G156" s="1"/>
      <c r="H156" s="1"/>
    </row>
    <row r="157" spans="1:8" x14ac:dyDescent="0.3">
      <c r="A157" t="s">
        <v>22</v>
      </c>
      <c r="B157" s="1">
        <f t="shared" si="8"/>
        <v>360374.2281279072</v>
      </c>
      <c r="C157" s="1">
        <v>1500</v>
      </c>
      <c r="D157" s="1">
        <f t="shared" si="6"/>
        <v>2110.9329974127922</v>
      </c>
      <c r="E157" s="1">
        <f t="shared" si="7"/>
        <v>363985.16112532001</v>
      </c>
      <c r="F157" s="1">
        <v>0</v>
      </c>
      <c r="G157" s="1"/>
      <c r="H157" s="1"/>
    </row>
    <row r="158" spans="1:8" x14ac:dyDescent="0.3">
      <c r="A158" t="s">
        <v>43</v>
      </c>
      <c r="B158" s="1">
        <f t="shared" si="8"/>
        <v>363985.16112532001</v>
      </c>
      <c r="C158" s="1">
        <v>1500</v>
      </c>
      <c r="D158" s="1">
        <f t="shared" si="6"/>
        <v>2131.9967732310333</v>
      </c>
      <c r="E158" s="1">
        <f t="shared" si="7"/>
        <v>367617.15789855103</v>
      </c>
      <c r="F158" s="1">
        <v>0</v>
      </c>
      <c r="G158" s="1"/>
      <c r="H158" s="1"/>
    </row>
    <row r="159" spans="1:8" x14ac:dyDescent="0.3">
      <c r="A159" t="s">
        <v>12</v>
      </c>
      <c r="B159" s="1">
        <f t="shared" si="8"/>
        <v>367617.15789855103</v>
      </c>
      <c r="C159" s="1">
        <v>1500</v>
      </c>
      <c r="D159" s="1">
        <f t="shared" si="6"/>
        <v>2153.1834210748812</v>
      </c>
      <c r="E159" s="1">
        <f t="shared" si="7"/>
        <v>371270.34131962591</v>
      </c>
      <c r="F159" s="1">
        <v>0</v>
      </c>
      <c r="G159" s="1"/>
      <c r="H159" s="1"/>
    </row>
    <row r="160" spans="1:8" x14ac:dyDescent="0.3">
      <c r="A160" t="s">
        <v>13</v>
      </c>
      <c r="B160" s="1">
        <f t="shared" si="8"/>
        <v>371270.34131962591</v>
      </c>
      <c r="C160" s="1">
        <v>1500</v>
      </c>
      <c r="D160" s="1">
        <f t="shared" si="6"/>
        <v>2174.493657697818</v>
      </c>
      <c r="E160" s="1">
        <f t="shared" si="7"/>
        <v>374944.83497732371</v>
      </c>
      <c r="F160" s="1">
        <v>0</v>
      </c>
      <c r="G160" s="1"/>
      <c r="H160" s="1"/>
    </row>
    <row r="161" spans="1:8" x14ac:dyDescent="0.3">
      <c r="A161" t="s">
        <v>14</v>
      </c>
      <c r="B161" s="1">
        <f t="shared" si="8"/>
        <v>374944.83497732371</v>
      </c>
      <c r="C161" s="1">
        <v>1500</v>
      </c>
      <c r="D161" s="1">
        <f t="shared" si="6"/>
        <v>2195.9282040343883</v>
      </c>
      <c r="E161" s="1">
        <f t="shared" si="7"/>
        <v>378640.76318135811</v>
      </c>
      <c r="F161" s="1">
        <v>0</v>
      </c>
      <c r="G161" s="4">
        <v>2039</v>
      </c>
      <c r="H161" s="1">
        <v>4650</v>
      </c>
    </row>
    <row r="162" spans="1:8" x14ac:dyDescent="0.3">
      <c r="A162" t="s">
        <v>15</v>
      </c>
      <c r="B162" s="1">
        <f t="shared" si="8"/>
        <v>378640.76318135811</v>
      </c>
      <c r="C162" s="1">
        <v>1500</v>
      </c>
      <c r="D162" s="1">
        <f t="shared" si="6"/>
        <v>2217.4877852245891</v>
      </c>
      <c r="E162" s="1">
        <f t="shared" si="7"/>
        <v>382358.25096658268</v>
      </c>
      <c r="F162" s="1">
        <v>0</v>
      </c>
      <c r="G162" s="1"/>
      <c r="H162" s="1"/>
    </row>
    <row r="163" spans="1:8" x14ac:dyDescent="0.3">
      <c r="A163" t="s">
        <v>16</v>
      </c>
      <c r="B163" s="1">
        <f t="shared" si="8"/>
        <v>382358.25096658268</v>
      </c>
      <c r="C163" s="1">
        <v>1500</v>
      </c>
      <c r="D163" s="1">
        <f t="shared" si="6"/>
        <v>2239.173130638399</v>
      </c>
      <c r="E163" s="1">
        <f t="shared" si="7"/>
        <v>386097.42409722105</v>
      </c>
      <c r="F163" s="1">
        <v>0</v>
      </c>
      <c r="G163" s="1"/>
      <c r="H163" s="1"/>
    </row>
    <row r="164" spans="1:8" x14ac:dyDescent="0.3">
      <c r="A164" t="s">
        <v>17</v>
      </c>
      <c r="B164" s="1">
        <f t="shared" si="8"/>
        <v>386097.42409722105</v>
      </c>
      <c r="C164" s="1">
        <v>1500</v>
      </c>
      <c r="D164" s="1">
        <f t="shared" si="6"/>
        <v>2260.9849739004562</v>
      </c>
      <c r="E164" s="1">
        <f t="shared" si="7"/>
        <v>389858.40907112148</v>
      </c>
      <c r="F164" s="1">
        <v>0</v>
      </c>
      <c r="G164" s="1"/>
      <c r="H164" s="1"/>
    </row>
    <row r="165" spans="1:8" x14ac:dyDescent="0.3">
      <c r="A165" t="s">
        <v>18</v>
      </c>
      <c r="B165" s="1">
        <f t="shared" si="8"/>
        <v>389858.40907112148</v>
      </c>
      <c r="C165" s="1">
        <v>1500</v>
      </c>
      <c r="D165" s="1">
        <f t="shared" si="6"/>
        <v>2282.9240529148756</v>
      </c>
      <c r="E165" s="1">
        <f t="shared" si="7"/>
        <v>393641.33312403638</v>
      </c>
      <c r="F165" s="1">
        <v>0</v>
      </c>
      <c r="G165" s="1"/>
      <c r="H165" s="1"/>
    </row>
    <row r="166" spans="1:8" x14ac:dyDescent="0.3">
      <c r="A166" t="s">
        <v>19</v>
      </c>
      <c r="B166" s="1">
        <f t="shared" si="8"/>
        <v>393641.33312403638</v>
      </c>
      <c r="C166" s="1">
        <v>1500</v>
      </c>
      <c r="D166" s="1">
        <f t="shared" si="6"/>
        <v>2304.9911098902121</v>
      </c>
      <c r="E166" s="1">
        <f t="shared" si="7"/>
        <v>397446.3242339266</v>
      </c>
      <c r="F166" s="1">
        <v>0</v>
      </c>
      <c r="G166" s="1"/>
      <c r="H166" s="1"/>
    </row>
    <row r="167" spans="1:8" x14ac:dyDescent="0.3">
      <c r="A167" t="s">
        <v>20</v>
      </c>
      <c r="B167" s="1">
        <f t="shared" si="8"/>
        <v>397446.3242339266</v>
      </c>
      <c r="C167" s="1">
        <v>1500</v>
      </c>
      <c r="D167" s="1">
        <f t="shared" si="6"/>
        <v>2327.1868913645721</v>
      </c>
      <c r="E167" s="1">
        <f t="shared" si="7"/>
        <v>401273.51112529117</v>
      </c>
      <c r="F167" s="1">
        <v>0</v>
      </c>
      <c r="G167" s="1"/>
      <c r="H167" s="1"/>
    </row>
    <row r="168" spans="1:8" x14ac:dyDescent="0.3">
      <c r="A168" t="s">
        <v>21</v>
      </c>
      <c r="B168" s="1">
        <f t="shared" si="8"/>
        <v>401273.51112529117</v>
      </c>
      <c r="C168" s="1">
        <v>1500</v>
      </c>
      <c r="D168" s="1">
        <f t="shared" si="6"/>
        <v>2349.5121482308655</v>
      </c>
      <c r="E168" s="1">
        <f t="shared" si="7"/>
        <v>405123.02327352203</v>
      </c>
      <c r="F168" s="1">
        <v>0</v>
      </c>
      <c r="G168" s="1"/>
      <c r="H168" s="1"/>
    </row>
    <row r="169" spans="1:8" x14ac:dyDescent="0.3">
      <c r="A169" t="s">
        <v>22</v>
      </c>
      <c r="B169" s="1">
        <f t="shared" si="8"/>
        <v>405123.02327352203</v>
      </c>
      <c r="C169" s="1">
        <v>1500</v>
      </c>
      <c r="D169" s="1">
        <f t="shared" si="6"/>
        <v>2371.967635762212</v>
      </c>
      <c r="E169" s="1">
        <f t="shared" si="7"/>
        <v>408994.99090928427</v>
      </c>
      <c r="F169" s="1">
        <v>0</v>
      </c>
      <c r="G169" s="1"/>
      <c r="H169" s="1"/>
    </row>
  </sheetData>
  <phoneticPr fontId="2" type="noConversion"/>
  <pageMargins left="0.7" right="0.7" top="0.75" bottom="0.75" header="0.3" footer="0.3"/>
  <ignoredErrors>
    <ignoredError sqref="B2 E3 E4:E169" calculatedColumn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34B4E-9CF3-42B0-89D6-D16FF74615A6}">
  <dimension ref="A1:G875"/>
  <sheetViews>
    <sheetView topLeftCell="A28" workbookViewId="0">
      <selection activeCell="E48" sqref="E48"/>
    </sheetView>
  </sheetViews>
  <sheetFormatPr defaultRowHeight="14.4" x14ac:dyDescent="0.3"/>
  <cols>
    <col min="1" max="1" width="10.33203125" bestFit="1" customWidth="1"/>
    <col min="2" max="2" width="22.21875" customWidth="1"/>
    <col min="3" max="3" width="16.5546875" customWidth="1"/>
    <col min="4" max="4" width="18.33203125" customWidth="1"/>
    <col min="5" max="5" width="9.44140625" customWidth="1"/>
    <col min="6" max="6" width="21.33203125" customWidth="1"/>
    <col min="7" max="7" width="14.44140625" bestFit="1" customWidth="1"/>
  </cols>
  <sheetData>
    <row r="1" spans="1:7" x14ac:dyDescent="0.3">
      <c r="A1" s="2" t="s">
        <v>0</v>
      </c>
      <c r="B1" s="2" t="s">
        <v>24</v>
      </c>
      <c r="C1" s="2" t="s">
        <v>25</v>
      </c>
      <c r="D1" s="2" t="s">
        <v>26</v>
      </c>
      <c r="E1" s="2" t="s">
        <v>23</v>
      </c>
      <c r="F1" s="2" t="s">
        <v>27</v>
      </c>
      <c r="G1" s="2"/>
    </row>
    <row r="2" spans="1:7" x14ac:dyDescent="0.3">
      <c r="A2" s="3">
        <v>46055</v>
      </c>
      <c r="B2">
        <v>16197.48</v>
      </c>
      <c r="C2">
        <f t="shared" ref="C2:C18" si="0">(12.9%/365)</f>
        <v>3.5342465753424658E-4</v>
      </c>
      <c r="D2" s="1">
        <f>B2*Table1[[#This Row],[Дневная ставка]]</f>
        <v>5.7245888219178083</v>
      </c>
      <c r="E2">
        <v>0</v>
      </c>
      <c r="F2" s="1">
        <f>B2+D2-E2</f>
        <v>16203.204588821918</v>
      </c>
    </row>
    <row r="3" spans="1:7" x14ac:dyDescent="0.3">
      <c r="A3" s="3">
        <v>46056</v>
      </c>
      <c r="B3" s="1">
        <f>F2</f>
        <v>16203.204588821918</v>
      </c>
      <c r="C3">
        <f t="shared" si="0"/>
        <v>3.5342465753424658E-4</v>
      </c>
      <c r="D3" s="1">
        <f>B3*Table1[[#This Row],[Дневная ставка]]</f>
        <v>5.7266120327617189</v>
      </c>
      <c r="E3">
        <v>0</v>
      </c>
      <c r="F3" s="1">
        <f t="shared" ref="F3:F66" si="1">B3+D3-E3</f>
        <v>16208.93120085468</v>
      </c>
    </row>
    <row r="4" spans="1:7" x14ac:dyDescent="0.3">
      <c r="A4" s="3">
        <v>46057</v>
      </c>
      <c r="B4" s="1">
        <f t="shared" ref="B4:B67" si="2">F3</f>
        <v>16208.93120085468</v>
      </c>
      <c r="C4">
        <f t="shared" si="0"/>
        <v>3.5342465753424658E-4</v>
      </c>
      <c r="D4" s="1">
        <f>B4*Table1[[#This Row],[Дневная ставка]]</f>
        <v>5.7286359586582298</v>
      </c>
      <c r="E4">
        <v>0</v>
      </c>
      <c r="F4" s="1">
        <f t="shared" si="1"/>
        <v>16214.659836813338</v>
      </c>
    </row>
    <row r="5" spans="1:7" x14ac:dyDescent="0.3">
      <c r="A5" s="3">
        <v>46058</v>
      </c>
      <c r="B5" s="1">
        <f t="shared" si="2"/>
        <v>16214.659836813338</v>
      </c>
      <c r="C5">
        <f t="shared" si="0"/>
        <v>3.5342465753424658E-4</v>
      </c>
      <c r="D5" s="1">
        <f>B5*Table1[[#This Row],[Дневная ставка]]</f>
        <v>5.730660599860057</v>
      </c>
      <c r="E5">
        <v>0</v>
      </c>
      <c r="F5" s="1">
        <f t="shared" si="1"/>
        <v>16220.390497413198</v>
      </c>
    </row>
    <row r="6" spans="1:7" x14ac:dyDescent="0.3">
      <c r="A6" s="3">
        <v>46059</v>
      </c>
      <c r="B6" s="1">
        <f t="shared" si="2"/>
        <v>16220.390497413198</v>
      </c>
      <c r="C6">
        <f t="shared" si="0"/>
        <v>3.5342465753424658E-4</v>
      </c>
      <c r="D6" s="1">
        <f>B6*Table1[[#This Row],[Дневная ставка]]</f>
        <v>5.7326859566200072</v>
      </c>
      <c r="E6">
        <v>0</v>
      </c>
      <c r="F6" s="1">
        <f t="shared" si="1"/>
        <v>16226.123183369818</v>
      </c>
    </row>
    <row r="7" spans="1:7" x14ac:dyDescent="0.3">
      <c r="A7" s="3">
        <v>46060</v>
      </c>
      <c r="B7" s="1">
        <f t="shared" si="2"/>
        <v>16226.123183369818</v>
      </c>
      <c r="C7">
        <f t="shared" si="0"/>
        <v>3.5342465753424658E-4</v>
      </c>
      <c r="D7" s="1">
        <f>B7*Table1[[#This Row],[Дневная ставка]]</f>
        <v>5.7347120291909768</v>
      </c>
      <c r="E7">
        <v>0</v>
      </c>
      <c r="F7" s="1">
        <f t="shared" si="1"/>
        <v>16231.857895399009</v>
      </c>
    </row>
    <row r="8" spans="1:7" x14ac:dyDescent="0.3">
      <c r="A8" s="3">
        <v>46061</v>
      </c>
      <c r="B8" s="1">
        <f t="shared" si="2"/>
        <v>16231.857895399009</v>
      </c>
      <c r="C8">
        <f t="shared" si="0"/>
        <v>3.5342465753424658E-4</v>
      </c>
      <c r="D8" s="1">
        <f>B8*Table1[[#This Row],[Дневная ставка]]</f>
        <v>5.7367388178259509</v>
      </c>
      <c r="E8">
        <v>0</v>
      </c>
      <c r="F8" s="1">
        <f t="shared" si="1"/>
        <v>16237.594634216835</v>
      </c>
    </row>
    <row r="9" spans="1:7" x14ac:dyDescent="0.3">
      <c r="A9" s="3">
        <v>46062</v>
      </c>
      <c r="B9" s="1">
        <f t="shared" si="2"/>
        <v>16237.594634216835</v>
      </c>
      <c r="C9">
        <f t="shared" si="0"/>
        <v>3.5342465753424658E-4</v>
      </c>
      <c r="D9" s="1">
        <f>B9*Table1[[#This Row],[Дневная ставка]]</f>
        <v>5.7387663227780052</v>
      </c>
      <c r="E9">
        <v>0</v>
      </c>
      <c r="F9" s="1">
        <f t="shared" si="1"/>
        <v>16243.333400539614</v>
      </c>
    </row>
    <row r="10" spans="1:7" x14ac:dyDescent="0.3">
      <c r="A10" s="3">
        <v>46063</v>
      </c>
      <c r="B10" s="1">
        <f t="shared" si="2"/>
        <v>16243.333400539614</v>
      </c>
      <c r="C10">
        <f t="shared" si="0"/>
        <v>3.5342465753424658E-4</v>
      </c>
      <c r="D10" s="1">
        <f>B10*Table1[[#This Row],[Дневная ставка]]</f>
        <v>5.7407945443003019</v>
      </c>
      <c r="E10">
        <v>0</v>
      </c>
      <c r="F10" s="1">
        <f t="shared" si="1"/>
        <v>16249.074195083915</v>
      </c>
    </row>
    <row r="11" spans="1:7" x14ac:dyDescent="0.3">
      <c r="A11" s="3">
        <v>46064</v>
      </c>
      <c r="B11" s="1">
        <f t="shared" si="2"/>
        <v>16249.074195083915</v>
      </c>
      <c r="C11">
        <f t="shared" si="0"/>
        <v>3.5342465753424658E-4</v>
      </c>
      <c r="D11" s="1">
        <f>B11*Table1[[#This Row],[Дневная ставка]]</f>
        <v>5.742823482646096</v>
      </c>
      <c r="E11">
        <v>0</v>
      </c>
      <c r="F11" s="1">
        <f t="shared" si="1"/>
        <v>16254.81701856656</v>
      </c>
    </row>
    <row r="12" spans="1:7" x14ac:dyDescent="0.3">
      <c r="A12" s="3">
        <v>46065</v>
      </c>
      <c r="B12" s="1">
        <f t="shared" si="2"/>
        <v>16254.81701856656</v>
      </c>
      <c r="C12">
        <f t="shared" si="0"/>
        <v>3.5342465753424658E-4</v>
      </c>
      <c r="D12" s="1">
        <f>B12*Table1[[#This Row],[Дневная ставка]]</f>
        <v>5.7448531380687298</v>
      </c>
      <c r="E12">
        <v>0</v>
      </c>
      <c r="F12" s="1">
        <f t="shared" si="1"/>
        <v>16260.561871704629</v>
      </c>
    </row>
    <row r="13" spans="1:7" x14ac:dyDescent="0.3">
      <c r="A13" s="3">
        <v>46066</v>
      </c>
      <c r="B13" s="1">
        <f t="shared" si="2"/>
        <v>16260.561871704629</v>
      </c>
      <c r="C13">
        <f t="shared" si="0"/>
        <v>3.5342465753424658E-4</v>
      </c>
      <c r="D13" s="1">
        <f>B13*Table1[[#This Row],[Дневная ставка]]</f>
        <v>5.7468835108216361</v>
      </c>
      <c r="E13">
        <v>0</v>
      </c>
      <c r="F13" s="1">
        <f t="shared" si="1"/>
        <v>16266.30875521545</v>
      </c>
    </row>
    <row r="14" spans="1:7" x14ac:dyDescent="0.3">
      <c r="A14" s="3">
        <v>46067</v>
      </c>
      <c r="B14" s="1">
        <f t="shared" si="2"/>
        <v>16266.30875521545</v>
      </c>
      <c r="C14">
        <f t="shared" si="0"/>
        <v>3.5342465753424658E-4</v>
      </c>
      <c r="D14" s="1">
        <f>B14*Table1[[#This Row],[Дневная ставка]]</f>
        <v>5.7489146011583374</v>
      </c>
      <c r="E14">
        <v>0</v>
      </c>
      <c r="F14" s="1">
        <f t="shared" si="1"/>
        <v>16272.057669816608</v>
      </c>
    </row>
    <row r="15" spans="1:7" x14ac:dyDescent="0.3">
      <c r="A15" s="3">
        <v>46068</v>
      </c>
      <c r="B15" s="1">
        <f t="shared" si="2"/>
        <v>16272.057669816608</v>
      </c>
      <c r="C15">
        <f t="shared" si="0"/>
        <v>3.5342465753424658E-4</v>
      </c>
      <c r="D15" s="1">
        <f>B15*Table1[[#This Row],[Дневная ставка]]</f>
        <v>5.7509464093324452</v>
      </c>
      <c r="E15">
        <v>0</v>
      </c>
      <c r="F15" s="1">
        <f t="shared" si="1"/>
        <v>16277.808616225941</v>
      </c>
    </row>
    <row r="16" spans="1:7" x14ac:dyDescent="0.3">
      <c r="A16" s="3">
        <v>46069</v>
      </c>
      <c r="B16" s="1">
        <f t="shared" si="2"/>
        <v>16277.808616225941</v>
      </c>
      <c r="C16">
        <f t="shared" si="0"/>
        <v>3.5342465753424658E-4</v>
      </c>
      <c r="D16" s="1">
        <f>B16*Table1[[#This Row],[Дневная ставка]]</f>
        <v>5.7529789355976613</v>
      </c>
      <c r="E16">
        <v>0</v>
      </c>
      <c r="F16" s="1">
        <f t="shared" si="1"/>
        <v>16283.561595161538</v>
      </c>
    </row>
    <row r="17" spans="1:6" x14ac:dyDescent="0.3">
      <c r="A17" s="3">
        <v>46070</v>
      </c>
      <c r="B17" s="1">
        <f t="shared" si="2"/>
        <v>16283.561595161538</v>
      </c>
      <c r="C17">
        <f t="shared" si="0"/>
        <v>3.5342465753424658E-4</v>
      </c>
      <c r="D17" s="1">
        <f>B17*Table1[[#This Row],[Дневная ставка]]</f>
        <v>5.7550121802077765</v>
      </c>
      <c r="E17">
        <v>0</v>
      </c>
      <c r="F17" s="1">
        <f t="shared" si="1"/>
        <v>16289.316607341745</v>
      </c>
    </row>
    <row r="18" spans="1:6" x14ac:dyDescent="0.3">
      <c r="A18" s="3">
        <v>46071</v>
      </c>
      <c r="B18" s="1">
        <f t="shared" si="2"/>
        <v>16289.316607341745</v>
      </c>
      <c r="C18">
        <f t="shared" si="0"/>
        <v>3.5342465753424658E-4</v>
      </c>
      <c r="D18" s="1">
        <f>B18*Table1[[#This Row],[Дневная ставка]]</f>
        <v>5.7570461434166713</v>
      </c>
      <c r="E18">
        <v>0</v>
      </c>
      <c r="F18" s="1">
        <f t="shared" si="1"/>
        <v>16295.073653485162</v>
      </c>
    </row>
    <row r="19" spans="1:6" x14ac:dyDescent="0.3">
      <c r="A19" s="3">
        <v>46072</v>
      </c>
      <c r="B19" s="1">
        <f t="shared" si="2"/>
        <v>16295.073653485162</v>
      </c>
      <c r="C19">
        <f>(12.9%/365)</f>
        <v>3.5342465753424658E-4</v>
      </c>
      <c r="D19" s="1">
        <f>B19*Table1[[#This Row],[Дневная ставка]]</f>
        <v>5.7590808254783177</v>
      </c>
      <c r="E19">
        <v>650.05999999999995</v>
      </c>
      <c r="F19" s="1">
        <f t="shared" si="1"/>
        <v>15650.772734310642</v>
      </c>
    </row>
    <row r="20" spans="1:6" x14ac:dyDescent="0.3">
      <c r="A20" s="3">
        <v>46073</v>
      </c>
      <c r="B20" s="1">
        <f t="shared" si="2"/>
        <v>15650.772734310642</v>
      </c>
      <c r="C20">
        <f t="shared" ref="C20:C83" si="3">(12.9%/365)</f>
        <v>3.5342465753424658E-4</v>
      </c>
      <c r="D20" s="1">
        <f>B20*Table1[[#This Row],[Дневная ставка]]</f>
        <v>5.5313689937700623</v>
      </c>
      <c r="E20">
        <v>0</v>
      </c>
      <c r="F20" s="1">
        <f t="shared" si="1"/>
        <v>15656.304103304412</v>
      </c>
    </row>
    <row r="21" spans="1:6" x14ac:dyDescent="0.3">
      <c r="A21" s="3">
        <v>46074</v>
      </c>
      <c r="B21" s="1">
        <f t="shared" si="2"/>
        <v>15656.304103304412</v>
      </c>
      <c r="C21">
        <f t="shared" si="3"/>
        <v>3.5342465753424658E-4</v>
      </c>
      <c r="D21" s="1">
        <f>B21*Table1[[#This Row],[Дневная ставка]]</f>
        <v>5.5333239159623817</v>
      </c>
      <c r="E21">
        <v>0</v>
      </c>
      <c r="F21" s="1">
        <f t="shared" si="1"/>
        <v>15661.837427220375</v>
      </c>
    </row>
    <row r="22" spans="1:6" x14ac:dyDescent="0.3">
      <c r="A22" s="3">
        <v>46075</v>
      </c>
      <c r="B22" s="1">
        <f t="shared" si="2"/>
        <v>15661.837427220375</v>
      </c>
      <c r="C22">
        <f t="shared" si="3"/>
        <v>3.5342465753424658E-4</v>
      </c>
      <c r="D22" s="1">
        <f>B22*Table1[[#This Row],[Дневная ставка]]</f>
        <v>5.5352795290724064</v>
      </c>
      <c r="E22">
        <v>0</v>
      </c>
      <c r="F22" s="1">
        <f t="shared" si="1"/>
        <v>15667.372706749447</v>
      </c>
    </row>
    <row r="23" spans="1:6" x14ac:dyDescent="0.3">
      <c r="A23" s="3">
        <v>46076</v>
      </c>
      <c r="B23" s="1">
        <f t="shared" si="2"/>
        <v>15667.372706749447</v>
      </c>
      <c r="C23">
        <f t="shared" si="3"/>
        <v>3.5342465753424658E-4</v>
      </c>
      <c r="D23" s="1">
        <f>B23*Table1[[#This Row],[Дневная ставка]]</f>
        <v>5.537235833344325</v>
      </c>
      <c r="E23">
        <v>0</v>
      </c>
      <c r="F23" s="1">
        <f t="shared" si="1"/>
        <v>15672.909942582792</v>
      </c>
    </row>
    <row r="24" spans="1:6" x14ac:dyDescent="0.3">
      <c r="A24" s="3">
        <v>46077</v>
      </c>
      <c r="B24" s="1">
        <f t="shared" si="2"/>
        <v>15672.909942582792</v>
      </c>
      <c r="C24">
        <f t="shared" si="3"/>
        <v>3.5342465753424658E-4</v>
      </c>
      <c r="D24" s="1">
        <f>B24*Table1[[#This Row],[Дневная ставка]]</f>
        <v>5.5391928290224115</v>
      </c>
      <c r="E24">
        <v>0</v>
      </c>
      <c r="F24" s="1">
        <f t="shared" si="1"/>
        <v>15678.449135411814</v>
      </c>
    </row>
    <row r="25" spans="1:6" x14ac:dyDescent="0.3">
      <c r="A25" s="3">
        <v>46078</v>
      </c>
      <c r="B25" s="1">
        <f t="shared" si="2"/>
        <v>15678.449135411814</v>
      </c>
      <c r="C25">
        <f t="shared" si="3"/>
        <v>3.5342465753424658E-4</v>
      </c>
      <c r="D25" s="1">
        <f>B25*Table1[[#This Row],[Дневная ставка]]</f>
        <v>5.5411505163510251</v>
      </c>
      <c r="E25">
        <v>0</v>
      </c>
      <c r="F25" s="1">
        <f t="shared" si="1"/>
        <v>15683.990285928165</v>
      </c>
    </row>
    <row r="26" spans="1:6" x14ac:dyDescent="0.3">
      <c r="A26" s="3">
        <v>46079</v>
      </c>
      <c r="B26" s="1">
        <f t="shared" si="2"/>
        <v>15683.990285928165</v>
      </c>
      <c r="C26">
        <f t="shared" si="3"/>
        <v>3.5342465753424658E-4</v>
      </c>
      <c r="D26" s="1">
        <f>B26*Table1[[#This Row],[Дневная ставка]]</f>
        <v>5.5431088955746119</v>
      </c>
      <c r="E26">
        <v>0</v>
      </c>
      <c r="F26" s="1">
        <f t="shared" si="1"/>
        <v>15689.533394823738</v>
      </c>
    </row>
    <row r="27" spans="1:6" x14ac:dyDescent="0.3">
      <c r="A27" s="3">
        <v>46080</v>
      </c>
      <c r="B27" s="1">
        <f t="shared" si="2"/>
        <v>15689.533394823738</v>
      </c>
      <c r="C27">
        <f t="shared" si="3"/>
        <v>3.5342465753424658E-4</v>
      </c>
      <c r="D27" s="1">
        <f>B27*Table1[[#This Row],[Дневная ставка]]</f>
        <v>5.5450679669377045</v>
      </c>
      <c r="E27">
        <v>0</v>
      </c>
      <c r="F27" s="1">
        <f t="shared" si="1"/>
        <v>15695.078462790676</v>
      </c>
    </row>
    <row r="28" spans="1:6" x14ac:dyDescent="0.3">
      <c r="A28" s="3">
        <v>46081</v>
      </c>
      <c r="B28" s="1">
        <f t="shared" si="2"/>
        <v>15695.078462790676</v>
      </c>
      <c r="C28">
        <f t="shared" si="3"/>
        <v>3.5342465753424658E-4</v>
      </c>
      <c r="D28" s="1">
        <f>B28*Table1[[#This Row],[Дневная ставка]]</f>
        <v>5.5470277306849241</v>
      </c>
      <c r="E28">
        <v>0</v>
      </c>
      <c r="F28" s="1">
        <f t="shared" si="1"/>
        <v>15700.625490521361</v>
      </c>
    </row>
    <row r="29" spans="1:6" x14ac:dyDescent="0.3">
      <c r="A29" s="3">
        <v>46082</v>
      </c>
      <c r="B29" s="1">
        <f t="shared" si="2"/>
        <v>15700.625490521361</v>
      </c>
      <c r="C29">
        <f t="shared" si="3"/>
        <v>3.5342465753424658E-4</v>
      </c>
      <c r="D29" s="1">
        <f>B29*Table1[[#This Row],[Дневная ставка]]</f>
        <v>5.5489881870609743</v>
      </c>
      <c r="E29">
        <v>0</v>
      </c>
      <c r="F29" s="1">
        <f t="shared" si="1"/>
        <v>15706.174478708423</v>
      </c>
    </row>
    <row r="30" spans="1:6" x14ac:dyDescent="0.3">
      <c r="A30" s="3">
        <v>46083</v>
      </c>
      <c r="B30" s="1">
        <f t="shared" si="2"/>
        <v>15706.174478708423</v>
      </c>
      <c r="C30">
        <f t="shared" si="3"/>
        <v>3.5342465753424658E-4</v>
      </c>
      <c r="D30" s="1">
        <f>B30*Table1[[#This Row],[Дневная ставка]]</f>
        <v>5.5509493363106479</v>
      </c>
      <c r="E30">
        <v>0</v>
      </c>
      <c r="F30" s="1">
        <f t="shared" si="1"/>
        <v>15711.725428044734</v>
      </c>
    </row>
    <row r="31" spans="1:6" x14ac:dyDescent="0.3">
      <c r="A31" s="3">
        <v>46084</v>
      </c>
      <c r="B31" s="1">
        <f t="shared" si="2"/>
        <v>15711.725428044734</v>
      </c>
      <c r="C31">
        <f t="shared" si="3"/>
        <v>3.5342465753424658E-4</v>
      </c>
      <c r="D31" s="1">
        <f>B31*Table1[[#This Row],[Дневная ставка]]</f>
        <v>5.5529111786788237</v>
      </c>
      <c r="E31">
        <v>0</v>
      </c>
      <c r="F31" s="1">
        <f t="shared" si="1"/>
        <v>15717.278339223412</v>
      </c>
    </row>
    <row r="32" spans="1:6" x14ac:dyDescent="0.3">
      <c r="A32" s="3">
        <v>46085</v>
      </c>
      <c r="B32" s="1">
        <f t="shared" si="2"/>
        <v>15717.278339223412</v>
      </c>
      <c r="C32">
        <f t="shared" si="3"/>
        <v>3.5342465753424658E-4</v>
      </c>
      <c r="D32" s="1">
        <f>B32*Table1[[#This Row],[Дневная ставка]]</f>
        <v>5.5548737144104665</v>
      </c>
      <c r="E32">
        <v>0</v>
      </c>
      <c r="F32" s="1">
        <f t="shared" si="1"/>
        <v>15722.833212937823</v>
      </c>
    </row>
    <row r="33" spans="1:6" x14ac:dyDescent="0.3">
      <c r="A33" s="3">
        <v>46086</v>
      </c>
      <c r="B33" s="1">
        <f t="shared" si="2"/>
        <v>15722.833212937823</v>
      </c>
      <c r="C33">
        <f t="shared" si="3"/>
        <v>3.5342465753424658E-4</v>
      </c>
      <c r="D33" s="1">
        <f>B33*Table1[[#This Row],[Дневная ставка]]</f>
        <v>5.5568369437506284</v>
      </c>
      <c r="E33">
        <v>0</v>
      </c>
      <c r="F33" s="1">
        <f t="shared" si="1"/>
        <v>15728.390049881575</v>
      </c>
    </row>
    <row r="34" spans="1:6" x14ac:dyDescent="0.3">
      <c r="A34" s="3">
        <v>46087</v>
      </c>
      <c r="B34" s="1">
        <f t="shared" si="2"/>
        <v>15728.390049881575</v>
      </c>
      <c r="C34">
        <f t="shared" si="3"/>
        <v>3.5342465753424658E-4</v>
      </c>
      <c r="D34" s="1">
        <f>B34*Table1[[#This Row],[Дневная ставка]]</f>
        <v>5.5588008669444466</v>
      </c>
      <c r="E34">
        <v>0</v>
      </c>
      <c r="F34" s="1">
        <f t="shared" si="1"/>
        <v>15733.948850748518</v>
      </c>
    </row>
    <row r="35" spans="1:6" x14ac:dyDescent="0.3">
      <c r="A35" s="3">
        <v>46088</v>
      </c>
      <c r="B35" s="1">
        <f t="shared" si="2"/>
        <v>15733.948850748518</v>
      </c>
      <c r="C35">
        <f t="shared" si="3"/>
        <v>3.5342465753424658E-4</v>
      </c>
      <c r="D35" s="1">
        <f>B35*Table1[[#This Row],[Дневная ставка]]</f>
        <v>5.5607654842371481</v>
      </c>
      <c r="E35">
        <v>0</v>
      </c>
      <c r="F35" s="1">
        <f t="shared" si="1"/>
        <v>15739.509616232755</v>
      </c>
    </row>
    <row r="36" spans="1:6" x14ac:dyDescent="0.3">
      <c r="A36" s="3">
        <v>46089</v>
      </c>
      <c r="B36" s="1">
        <f t="shared" si="2"/>
        <v>15739.509616232755</v>
      </c>
      <c r="C36">
        <f t="shared" si="3"/>
        <v>3.5342465753424658E-4</v>
      </c>
      <c r="D36" s="1">
        <f>B36*Table1[[#This Row],[Дневная ставка]]</f>
        <v>5.5627307958740424</v>
      </c>
      <c r="E36">
        <v>0</v>
      </c>
      <c r="F36" s="1">
        <f t="shared" si="1"/>
        <v>15745.07234702863</v>
      </c>
    </row>
    <row r="37" spans="1:6" x14ac:dyDescent="0.3">
      <c r="A37" s="3">
        <v>46090</v>
      </c>
      <c r="B37" s="1">
        <f t="shared" si="2"/>
        <v>15745.07234702863</v>
      </c>
      <c r="C37">
        <f t="shared" si="3"/>
        <v>3.5342465753424658E-4</v>
      </c>
      <c r="D37" s="1">
        <f>B37*Table1[[#This Row],[Дневная ставка]]</f>
        <v>5.5646968021005296</v>
      </c>
      <c r="E37">
        <v>0</v>
      </c>
      <c r="F37" s="1">
        <f t="shared" si="1"/>
        <v>15750.637043830731</v>
      </c>
    </row>
    <row r="38" spans="1:6" x14ac:dyDescent="0.3">
      <c r="A38" s="3">
        <v>46091</v>
      </c>
      <c r="B38" s="1">
        <f t="shared" si="2"/>
        <v>15750.637043830731</v>
      </c>
      <c r="C38">
        <f t="shared" si="3"/>
        <v>3.5342465753424658E-4</v>
      </c>
      <c r="D38" s="1">
        <f>B38*Table1[[#This Row],[Дневная ставка]]</f>
        <v>5.5666635031620944</v>
      </c>
      <c r="E38">
        <v>0</v>
      </c>
      <c r="F38" s="1">
        <f t="shared" si="1"/>
        <v>15756.203707333894</v>
      </c>
    </row>
    <row r="39" spans="1:6" x14ac:dyDescent="0.3">
      <c r="A39" s="3">
        <v>46092</v>
      </c>
      <c r="B39" s="1">
        <f t="shared" si="2"/>
        <v>15756.203707333894</v>
      </c>
      <c r="C39">
        <f t="shared" si="3"/>
        <v>3.5342465753424658E-4</v>
      </c>
      <c r="D39" s="1">
        <f>B39*Table1[[#This Row],[Дневная ставка]]</f>
        <v>5.5686308993043081</v>
      </c>
      <c r="E39">
        <v>0</v>
      </c>
      <c r="F39" s="1">
        <f t="shared" si="1"/>
        <v>15761.772338233199</v>
      </c>
    </row>
    <row r="40" spans="1:6" x14ac:dyDescent="0.3">
      <c r="A40" s="3">
        <v>46093</v>
      </c>
      <c r="B40" s="1">
        <f t="shared" si="2"/>
        <v>15761.772338233199</v>
      </c>
      <c r="C40">
        <f t="shared" si="3"/>
        <v>3.5342465753424658E-4</v>
      </c>
      <c r="D40" s="1">
        <f>B40*Table1[[#This Row],[Дневная ставка]]</f>
        <v>5.5705989907728295</v>
      </c>
      <c r="E40">
        <v>0</v>
      </c>
      <c r="F40" s="1">
        <f t="shared" si="1"/>
        <v>15767.342937223972</v>
      </c>
    </row>
    <row r="41" spans="1:6" x14ac:dyDescent="0.3">
      <c r="A41" s="3">
        <v>46094</v>
      </c>
      <c r="B41" s="1">
        <f t="shared" si="2"/>
        <v>15767.342937223972</v>
      </c>
      <c r="C41">
        <f t="shared" si="3"/>
        <v>3.5342465753424658E-4</v>
      </c>
      <c r="D41" s="1">
        <f>B41*Table1[[#This Row],[Дневная ставка]]</f>
        <v>5.5725677778134042</v>
      </c>
      <c r="E41">
        <v>0</v>
      </c>
      <c r="F41" s="1">
        <f t="shared" si="1"/>
        <v>15772.915505001785</v>
      </c>
    </row>
    <row r="42" spans="1:6" x14ac:dyDescent="0.3">
      <c r="A42" s="3">
        <v>46095</v>
      </c>
      <c r="B42" s="1">
        <f t="shared" si="2"/>
        <v>15772.915505001785</v>
      </c>
      <c r="C42">
        <f t="shared" si="3"/>
        <v>3.5342465753424658E-4</v>
      </c>
      <c r="D42" s="1">
        <f>B42*Table1[[#This Row],[Дневная ставка]]</f>
        <v>5.5745372606718639</v>
      </c>
      <c r="E42">
        <v>0</v>
      </c>
      <c r="F42" s="1">
        <f t="shared" si="1"/>
        <v>15778.490042262458</v>
      </c>
    </row>
    <row r="43" spans="1:6" x14ac:dyDescent="0.3">
      <c r="A43" s="3">
        <v>46096</v>
      </c>
      <c r="B43" s="1">
        <f t="shared" si="2"/>
        <v>15778.490042262458</v>
      </c>
      <c r="C43">
        <f t="shared" si="3"/>
        <v>3.5342465753424658E-4</v>
      </c>
      <c r="D43" s="1">
        <f>B43*Table1[[#This Row],[Дневная ставка]]</f>
        <v>5.5765074395941294</v>
      </c>
      <c r="E43">
        <v>0</v>
      </c>
      <c r="F43" s="1">
        <f t="shared" si="1"/>
        <v>15784.066549702053</v>
      </c>
    </row>
    <row r="44" spans="1:6" x14ac:dyDescent="0.3">
      <c r="A44" s="3">
        <v>46097</v>
      </c>
      <c r="B44" s="1">
        <f t="shared" si="2"/>
        <v>15784.066549702053</v>
      </c>
      <c r="C44">
        <f t="shared" si="3"/>
        <v>3.5342465753424658E-4</v>
      </c>
      <c r="D44" s="1">
        <f>B44*Table1[[#This Row],[Дневная ставка]]</f>
        <v>5.5784783148262047</v>
      </c>
      <c r="E44">
        <v>0</v>
      </c>
      <c r="F44" s="1">
        <f t="shared" si="1"/>
        <v>15789.645028016879</v>
      </c>
    </row>
    <row r="45" spans="1:6" x14ac:dyDescent="0.3">
      <c r="A45" s="3">
        <v>46098</v>
      </c>
      <c r="B45" s="1">
        <f t="shared" si="2"/>
        <v>15789.645028016879</v>
      </c>
      <c r="C45">
        <f t="shared" si="3"/>
        <v>3.5342465753424658E-4</v>
      </c>
      <c r="D45" s="1">
        <f>B45*Table1[[#This Row],[Дневная ставка]]</f>
        <v>5.5804498866141845</v>
      </c>
      <c r="E45">
        <v>0</v>
      </c>
      <c r="F45" s="1">
        <f t="shared" si="1"/>
        <v>15795.225477903494</v>
      </c>
    </row>
    <row r="46" spans="1:6" x14ac:dyDescent="0.3">
      <c r="A46" s="3">
        <v>46099</v>
      </c>
      <c r="B46" s="1">
        <f t="shared" si="2"/>
        <v>15795.225477903494</v>
      </c>
      <c r="C46">
        <f t="shared" si="3"/>
        <v>3.5342465753424658E-4</v>
      </c>
      <c r="D46" s="1">
        <f>B46*Table1[[#This Row],[Дневная ставка]]</f>
        <v>5.5824221552042488</v>
      </c>
      <c r="E46">
        <v>0</v>
      </c>
      <c r="F46" s="1">
        <f t="shared" si="1"/>
        <v>15800.807900058699</v>
      </c>
    </row>
    <row r="47" spans="1:6" x14ac:dyDescent="0.3">
      <c r="A47" s="3">
        <v>46100</v>
      </c>
      <c r="B47" s="1">
        <f t="shared" si="2"/>
        <v>15800.807900058699</v>
      </c>
      <c r="C47">
        <f t="shared" si="3"/>
        <v>3.5342465753424658E-4</v>
      </c>
      <c r="D47" s="1">
        <f>B47*Table1[[#This Row],[Дневная ставка]]</f>
        <v>5.5843951208426637</v>
      </c>
      <c r="E47">
        <v>650.05999999999995</v>
      </c>
      <c r="F47" s="1">
        <f t="shared" si="1"/>
        <v>15156.332295179542</v>
      </c>
    </row>
    <row r="48" spans="1:6" x14ac:dyDescent="0.3">
      <c r="A48" s="3">
        <v>46101</v>
      </c>
      <c r="B48" s="1">
        <f t="shared" si="2"/>
        <v>15156.332295179542</v>
      </c>
      <c r="C48">
        <f t="shared" si="3"/>
        <v>3.5342465753424658E-4</v>
      </c>
      <c r="D48" s="1">
        <f>B48*Table1[[#This Row],[Дневная ставка]]</f>
        <v>5.3566215508990709</v>
      </c>
      <c r="E48">
        <v>0</v>
      </c>
      <c r="F48" s="1">
        <f t="shared" si="1"/>
        <v>15161.688916730442</v>
      </c>
    </row>
    <row r="49" spans="1:6" x14ac:dyDescent="0.3">
      <c r="A49" s="3">
        <v>46102</v>
      </c>
      <c r="B49" s="1">
        <f t="shared" si="2"/>
        <v>15161.688916730442</v>
      </c>
      <c r="C49">
        <f t="shared" si="3"/>
        <v>3.5342465753424658E-4</v>
      </c>
      <c r="D49" s="1">
        <f>B49*Table1[[#This Row],[Дневная ставка]]</f>
        <v>5.3585147130362385</v>
      </c>
      <c r="E49">
        <v>0</v>
      </c>
      <c r="F49" s="1">
        <f t="shared" si="1"/>
        <v>15167.047431443478</v>
      </c>
    </row>
    <row r="50" spans="1:6" x14ac:dyDescent="0.3">
      <c r="A50" s="3">
        <v>46103</v>
      </c>
      <c r="B50" s="1">
        <f t="shared" si="2"/>
        <v>15167.047431443478</v>
      </c>
      <c r="C50">
        <f t="shared" si="3"/>
        <v>3.5342465753424658E-4</v>
      </c>
      <c r="D50" s="1">
        <f>B50*Table1[[#This Row],[Дневная ставка]]</f>
        <v>5.3604085442635858</v>
      </c>
      <c r="E50">
        <v>0</v>
      </c>
      <c r="F50" s="1">
        <f t="shared" si="1"/>
        <v>15172.407839987742</v>
      </c>
    </row>
    <row r="51" spans="1:6" x14ac:dyDescent="0.3">
      <c r="A51" s="3">
        <v>46104</v>
      </c>
      <c r="B51" s="1">
        <f t="shared" si="2"/>
        <v>15172.407839987742</v>
      </c>
      <c r="C51">
        <f t="shared" si="3"/>
        <v>3.5342465753424658E-4</v>
      </c>
      <c r="D51" s="1">
        <f>B51*Table1[[#This Row],[Дневная ставка]]</f>
        <v>5.3623030448175859</v>
      </c>
      <c r="E51">
        <v>0</v>
      </c>
      <c r="F51" s="1">
        <f t="shared" si="1"/>
        <v>15177.77014303256</v>
      </c>
    </row>
    <row r="52" spans="1:6" x14ac:dyDescent="0.3">
      <c r="A52" s="3">
        <v>46105</v>
      </c>
      <c r="B52" s="1">
        <f t="shared" si="2"/>
        <v>15177.77014303256</v>
      </c>
      <c r="C52">
        <f t="shared" si="3"/>
        <v>3.5342465753424658E-4</v>
      </c>
      <c r="D52" s="1">
        <f>B52*Table1[[#This Row],[Дневная ставка]]</f>
        <v>5.3641982149347953</v>
      </c>
      <c r="E52">
        <v>0</v>
      </c>
      <c r="F52" s="1">
        <f t="shared" si="1"/>
        <v>15183.134341247494</v>
      </c>
    </row>
    <row r="53" spans="1:6" x14ac:dyDescent="0.3">
      <c r="A53" s="3">
        <v>46106</v>
      </c>
      <c r="B53" s="1">
        <f t="shared" si="2"/>
        <v>15183.134341247494</v>
      </c>
      <c r="C53">
        <f t="shared" si="3"/>
        <v>3.5342465753424658E-4</v>
      </c>
      <c r="D53" s="1">
        <f>B53*Table1[[#This Row],[Дневная ставка]]</f>
        <v>5.3660940548518541</v>
      </c>
      <c r="E53">
        <v>0</v>
      </c>
      <c r="F53" s="1">
        <f t="shared" si="1"/>
        <v>15188.500435302347</v>
      </c>
    </row>
    <row r="54" spans="1:6" x14ac:dyDescent="0.3">
      <c r="A54" s="3">
        <v>46107</v>
      </c>
      <c r="B54" s="1">
        <f t="shared" si="2"/>
        <v>15188.500435302347</v>
      </c>
      <c r="C54">
        <f t="shared" si="3"/>
        <v>3.5342465753424658E-4</v>
      </c>
      <c r="D54" s="1">
        <f>B54*Table1[[#This Row],[Дневная ставка]]</f>
        <v>5.3679905648054875</v>
      </c>
      <c r="E54">
        <v>0</v>
      </c>
      <c r="F54" s="1">
        <f t="shared" si="1"/>
        <v>15193.868425867153</v>
      </c>
    </row>
    <row r="55" spans="1:6" x14ac:dyDescent="0.3">
      <c r="A55" s="3">
        <v>46108</v>
      </c>
      <c r="B55" s="1">
        <f t="shared" si="2"/>
        <v>15193.868425867153</v>
      </c>
      <c r="C55">
        <f t="shared" si="3"/>
        <v>3.5342465753424658E-4</v>
      </c>
      <c r="D55" s="1">
        <f>B55*Table1[[#This Row],[Дневная ставка]]</f>
        <v>5.3698877450325009</v>
      </c>
      <c r="E55">
        <v>0</v>
      </c>
      <c r="F55" s="1">
        <f t="shared" si="1"/>
        <v>15199.238313612186</v>
      </c>
    </row>
    <row r="56" spans="1:6" x14ac:dyDescent="0.3">
      <c r="A56" s="3">
        <v>46109</v>
      </c>
      <c r="B56" s="1">
        <f t="shared" si="2"/>
        <v>15199.238313612186</v>
      </c>
      <c r="C56">
        <f t="shared" si="3"/>
        <v>3.5342465753424658E-4</v>
      </c>
      <c r="D56" s="1">
        <f>B56*Table1[[#This Row],[Дневная ставка]]</f>
        <v>5.3717855957697864</v>
      </c>
      <c r="E56">
        <v>0</v>
      </c>
      <c r="F56" s="1">
        <f t="shared" si="1"/>
        <v>15204.610099207955</v>
      </c>
    </row>
    <row r="57" spans="1:6" x14ac:dyDescent="0.3">
      <c r="A57" s="3">
        <v>46110</v>
      </c>
      <c r="B57" s="1">
        <f t="shared" si="2"/>
        <v>15204.610099207955</v>
      </c>
      <c r="C57">
        <f t="shared" si="3"/>
        <v>3.5342465753424658E-4</v>
      </c>
      <c r="D57" s="1">
        <f>B57*Table1[[#This Row],[Дневная ставка]]</f>
        <v>5.373684117254319</v>
      </c>
      <c r="E57">
        <v>0</v>
      </c>
      <c r="F57" s="1">
        <f t="shared" si="1"/>
        <v>15209.98378332521</v>
      </c>
    </row>
    <row r="58" spans="1:6" x14ac:dyDescent="0.3">
      <c r="A58" s="3">
        <v>46111</v>
      </c>
      <c r="B58" s="1">
        <f t="shared" si="2"/>
        <v>15209.98378332521</v>
      </c>
      <c r="C58">
        <f t="shared" si="3"/>
        <v>3.5342465753424658E-4</v>
      </c>
      <c r="D58" s="1">
        <f>B58*Table1[[#This Row],[Дневная ставка]]</f>
        <v>5.3755833097231562</v>
      </c>
      <c r="E58">
        <v>0</v>
      </c>
      <c r="F58" s="1">
        <f t="shared" si="1"/>
        <v>15215.359366634933</v>
      </c>
    </row>
    <row r="59" spans="1:6" x14ac:dyDescent="0.3">
      <c r="A59" s="3">
        <v>46112</v>
      </c>
      <c r="B59" s="1">
        <f t="shared" si="2"/>
        <v>15215.359366634933</v>
      </c>
      <c r="C59">
        <f t="shared" si="3"/>
        <v>3.5342465753424658E-4</v>
      </c>
      <c r="D59" s="1">
        <f>B59*Table1[[#This Row],[Дневная ставка]]</f>
        <v>5.3774831734134425</v>
      </c>
      <c r="E59">
        <v>0</v>
      </c>
      <c r="F59" s="1">
        <f t="shared" si="1"/>
        <v>15220.736849808347</v>
      </c>
    </row>
    <row r="60" spans="1:6" x14ac:dyDescent="0.3">
      <c r="A60" s="3">
        <v>46113</v>
      </c>
      <c r="B60" s="1">
        <f t="shared" si="2"/>
        <v>15220.736849808347</v>
      </c>
      <c r="C60">
        <f t="shared" si="3"/>
        <v>3.5342465753424658E-4</v>
      </c>
      <c r="D60" s="1">
        <f>B60*Table1[[#This Row],[Дневная ставка]]</f>
        <v>5.3793837085624023</v>
      </c>
      <c r="E60">
        <v>0</v>
      </c>
      <c r="F60" s="1">
        <f t="shared" si="1"/>
        <v>15226.11623351691</v>
      </c>
    </row>
    <row r="61" spans="1:6" x14ac:dyDescent="0.3">
      <c r="A61" s="3">
        <v>46114</v>
      </c>
      <c r="B61" s="1">
        <f t="shared" si="2"/>
        <v>15226.11623351691</v>
      </c>
      <c r="C61">
        <f t="shared" si="3"/>
        <v>3.5342465753424658E-4</v>
      </c>
      <c r="D61" s="1">
        <f>B61*Table1[[#This Row],[Дневная ставка]]</f>
        <v>5.3812849154073463</v>
      </c>
      <c r="E61">
        <v>0</v>
      </c>
      <c r="F61" s="1">
        <f t="shared" si="1"/>
        <v>15231.497518432318</v>
      </c>
    </row>
    <row r="62" spans="1:6" x14ac:dyDescent="0.3">
      <c r="A62" s="3">
        <v>46115</v>
      </c>
      <c r="B62" s="1">
        <f t="shared" si="2"/>
        <v>15231.497518432318</v>
      </c>
      <c r="C62">
        <f t="shared" si="3"/>
        <v>3.5342465753424658E-4</v>
      </c>
      <c r="D62" s="1">
        <f>B62*Table1[[#This Row],[Дневная ставка]]</f>
        <v>5.3831867941856686</v>
      </c>
      <c r="E62">
        <v>0</v>
      </c>
      <c r="F62" s="1">
        <f t="shared" si="1"/>
        <v>15236.880705226504</v>
      </c>
    </row>
    <row r="63" spans="1:6" x14ac:dyDescent="0.3">
      <c r="A63" s="3">
        <v>46116</v>
      </c>
      <c r="B63" s="1">
        <f t="shared" si="2"/>
        <v>15236.880705226504</v>
      </c>
      <c r="C63">
        <f t="shared" si="3"/>
        <v>3.5342465753424658E-4</v>
      </c>
      <c r="D63" s="1">
        <f>B63*Table1[[#This Row],[Дневная ставка]]</f>
        <v>5.3850893451348467</v>
      </c>
      <c r="E63">
        <v>0</v>
      </c>
      <c r="F63" s="1">
        <f t="shared" si="1"/>
        <v>15242.265794571638</v>
      </c>
    </row>
    <row r="64" spans="1:6" x14ac:dyDescent="0.3">
      <c r="A64" s="3">
        <v>46117</v>
      </c>
      <c r="B64" s="1">
        <f t="shared" si="2"/>
        <v>15242.265794571638</v>
      </c>
      <c r="C64">
        <f t="shared" si="3"/>
        <v>3.5342465753424658E-4</v>
      </c>
      <c r="D64" s="1">
        <f>B64*Table1[[#This Row],[Дневная ставка]]</f>
        <v>5.3869925684924418</v>
      </c>
      <c r="E64">
        <v>0</v>
      </c>
      <c r="F64" s="1">
        <f t="shared" si="1"/>
        <v>15247.65278714013</v>
      </c>
    </row>
    <row r="65" spans="1:6" x14ac:dyDescent="0.3">
      <c r="A65" s="3">
        <v>46118</v>
      </c>
      <c r="B65" s="1">
        <f t="shared" si="2"/>
        <v>15247.65278714013</v>
      </c>
      <c r="C65">
        <f t="shared" si="3"/>
        <v>3.5342465753424658E-4</v>
      </c>
      <c r="D65" s="1">
        <f>B65*Table1[[#This Row],[Дневная ставка]]</f>
        <v>5.388896464496101</v>
      </c>
      <c r="E65">
        <v>0</v>
      </c>
      <c r="F65" s="1">
        <f t="shared" si="1"/>
        <v>15253.041683604626</v>
      </c>
    </row>
    <row r="66" spans="1:6" x14ac:dyDescent="0.3">
      <c r="A66" s="3">
        <v>46119</v>
      </c>
      <c r="B66" s="1">
        <f t="shared" si="2"/>
        <v>15253.041683604626</v>
      </c>
      <c r="C66">
        <f t="shared" si="3"/>
        <v>3.5342465753424658E-4</v>
      </c>
      <c r="D66" s="1">
        <f>B66*Table1[[#This Row],[Дневная ставка]]</f>
        <v>5.3908010333835525</v>
      </c>
      <c r="E66">
        <v>0</v>
      </c>
      <c r="F66" s="1">
        <f t="shared" si="1"/>
        <v>15258.43248463801</v>
      </c>
    </row>
    <row r="67" spans="1:6" x14ac:dyDescent="0.3">
      <c r="A67" s="3">
        <v>46120</v>
      </c>
      <c r="B67" s="1">
        <f t="shared" si="2"/>
        <v>15258.43248463801</v>
      </c>
      <c r="C67">
        <f t="shared" si="3"/>
        <v>3.5342465753424658E-4</v>
      </c>
      <c r="D67" s="1">
        <f>B67*Table1[[#This Row],[Дневная ставка]]</f>
        <v>5.3927062753926114</v>
      </c>
      <c r="E67">
        <v>0</v>
      </c>
      <c r="F67" s="1">
        <f t="shared" ref="F67:F130" si="4">B67+D67-E67</f>
        <v>15263.825190913401</v>
      </c>
    </row>
    <row r="68" spans="1:6" x14ac:dyDescent="0.3">
      <c r="A68" s="3">
        <v>46121</v>
      </c>
      <c r="B68" s="1">
        <f t="shared" ref="B68:B131" si="5">F67</f>
        <v>15263.825190913401</v>
      </c>
      <c r="C68">
        <f t="shared" si="3"/>
        <v>3.5342465753424658E-4</v>
      </c>
      <c r="D68" s="1">
        <f>B68*Table1[[#This Row],[Дневная ставка]]</f>
        <v>5.3946121907611753</v>
      </c>
      <c r="E68">
        <v>0</v>
      </c>
      <c r="F68" s="1">
        <f t="shared" si="4"/>
        <v>15269.219803104163</v>
      </c>
    </row>
    <row r="69" spans="1:6" x14ac:dyDescent="0.3">
      <c r="A69" s="3">
        <v>46122</v>
      </c>
      <c r="B69" s="1">
        <f t="shared" si="5"/>
        <v>15269.219803104163</v>
      </c>
      <c r="C69">
        <f t="shared" si="3"/>
        <v>3.5342465753424658E-4</v>
      </c>
      <c r="D69" s="1">
        <f>B69*Table1[[#This Row],[Дневная ставка]]</f>
        <v>5.3965187797272245</v>
      </c>
      <c r="E69">
        <v>0</v>
      </c>
      <c r="F69" s="1">
        <f t="shared" si="4"/>
        <v>15274.61632188389</v>
      </c>
    </row>
    <row r="70" spans="1:6" x14ac:dyDescent="0.3">
      <c r="A70" s="3">
        <v>46123</v>
      </c>
      <c r="B70" s="1">
        <f t="shared" si="5"/>
        <v>15274.61632188389</v>
      </c>
      <c r="C70">
        <f t="shared" si="3"/>
        <v>3.5342465753424658E-4</v>
      </c>
      <c r="D70" s="1">
        <f>B70*Table1[[#This Row],[Дневная ставка]]</f>
        <v>5.3984260425288273</v>
      </c>
      <c r="E70">
        <v>0</v>
      </c>
      <c r="F70" s="1">
        <f t="shared" si="4"/>
        <v>15280.01474792642</v>
      </c>
    </row>
    <row r="71" spans="1:6" x14ac:dyDescent="0.3">
      <c r="A71" s="3">
        <v>46124</v>
      </c>
      <c r="B71" s="1">
        <f t="shared" si="5"/>
        <v>15280.01474792642</v>
      </c>
      <c r="C71">
        <f t="shared" si="3"/>
        <v>3.5342465753424658E-4</v>
      </c>
      <c r="D71" s="1">
        <f>B71*Table1[[#This Row],[Дневная ставка]]</f>
        <v>5.4003339794041318</v>
      </c>
      <c r="E71">
        <v>0</v>
      </c>
      <c r="F71" s="1">
        <f t="shared" si="4"/>
        <v>15285.415081905823</v>
      </c>
    </row>
    <row r="72" spans="1:6" x14ac:dyDescent="0.3">
      <c r="A72" s="3">
        <v>46125</v>
      </c>
      <c r="B72" s="1">
        <f t="shared" si="5"/>
        <v>15285.415081905823</v>
      </c>
      <c r="C72">
        <f t="shared" si="3"/>
        <v>3.5342465753424658E-4</v>
      </c>
      <c r="D72" s="1">
        <f>B72*Table1[[#This Row],[Дневная ставка]]</f>
        <v>5.4022425905913734</v>
      </c>
      <c r="E72">
        <v>0</v>
      </c>
      <c r="F72" s="1">
        <f t="shared" si="4"/>
        <v>15290.817324496415</v>
      </c>
    </row>
    <row r="73" spans="1:6" x14ac:dyDescent="0.3">
      <c r="A73" s="3">
        <v>46126</v>
      </c>
      <c r="B73" s="1">
        <f t="shared" si="5"/>
        <v>15290.817324496415</v>
      </c>
      <c r="C73">
        <f t="shared" si="3"/>
        <v>3.5342465753424658E-4</v>
      </c>
      <c r="D73" s="1">
        <f>B73*Table1[[#This Row],[Дневная ставка]]</f>
        <v>5.4041518763288696</v>
      </c>
      <c r="E73">
        <v>0</v>
      </c>
      <c r="F73" s="1">
        <f t="shared" si="4"/>
        <v>15296.221476372744</v>
      </c>
    </row>
    <row r="74" spans="1:6" x14ac:dyDescent="0.3">
      <c r="A74" s="3">
        <v>46127</v>
      </c>
      <c r="B74" s="1">
        <f t="shared" si="5"/>
        <v>15296.221476372744</v>
      </c>
      <c r="C74">
        <f t="shared" si="3"/>
        <v>3.5342465753424658E-4</v>
      </c>
      <c r="D74" s="1">
        <f>B74*Table1[[#This Row],[Дневная ставка]]</f>
        <v>5.4060618368550246</v>
      </c>
      <c r="E74">
        <v>0</v>
      </c>
      <c r="F74" s="1">
        <f t="shared" si="4"/>
        <v>15301.627538209599</v>
      </c>
    </row>
    <row r="75" spans="1:6" x14ac:dyDescent="0.3">
      <c r="A75" s="3">
        <v>46128</v>
      </c>
      <c r="B75" s="1">
        <f t="shared" si="5"/>
        <v>15301.627538209599</v>
      </c>
      <c r="C75">
        <f t="shared" si="3"/>
        <v>3.5342465753424658E-4</v>
      </c>
      <c r="D75" s="1">
        <f>B75*Table1[[#This Row],[Дневная ставка]]</f>
        <v>5.407972472408324</v>
      </c>
      <c r="E75">
        <v>0</v>
      </c>
      <c r="F75" s="1">
        <f t="shared" si="4"/>
        <v>15307.035510682008</v>
      </c>
    </row>
    <row r="76" spans="1:6" x14ac:dyDescent="0.3">
      <c r="A76" s="3">
        <v>46129</v>
      </c>
      <c r="B76" s="1">
        <f t="shared" si="5"/>
        <v>15307.035510682008</v>
      </c>
      <c r="C76">
        <f t="shared" si="3"/>
        <v>3.5342465753424658E-4</v>
      </c>
      <c r="D76" s="1">
        <f>B76*Table1[[#This Row],[Дневная ставка]]</f>
        <v>5.4098837832273396</v>
      </c>
      <c r="E76">
        <v>0</v>
      </c>
      <c r="F76" s="1">
        <f t="shared" si="4"/>
        <v>15312.445394465236</v>
      </c>
    </row>
    <row r="77" spans="1:6" x14ac:dyDescent="0.3">
      <c r="A77" s="3">
        <v>46130</v>
      </c>
      <c r="B77" s="1">
        <f t="shared" si="5"/>
        <v>15312.445394465236</v>
      </c>
      <c r="C77">
        <f t="shared" si="3"/>
        <v>3.5342465753424658E-4</v>
      </c>
      <c r="D77" s="1">
        <f>B77*Table1[[#This Row],[Дневная ставка]]</f>
        <v>5.4117957695507277</v>
      </c>
      <c r="E77">
        <v>0</v>
      </c>
      <c r="F77" s="1">
        <f t="shared" si="4"/>
        <v>15317.857190234787</v>
      </c>
    </row>
    <row r="78" spans="1:6" x14ac:dyDescent="0.3">
      <c r="A78" s="3">
        <v>46131</v>
      </c>
      <c r="B78" s="1">
        <f t="shared" si="5"/>
        <v>15317.857190234787</v>
      </c>
      <c r="C78">
        <f t="shared" si="3"/>
        <v>3.5342465753424658E-4</v>
      </c>
      <c r="D78" s="1">
        <f>B78*Table1[[#This Row],[Дневная ставка]]</f>
        <v>5.4137084316172261</v>
      </c>
      <c r="E78">
        <v>650.05999999999995</v>
      </c>
      <c r="F78" s="1">
        <f t="shared" si="4"/>
        <v>14673.210898666404</v>
      </c>
    </row>
    <row r="79" spans="1:6" x14ac:dyDescent="0.3">
      <c r="A79" s="3">
        <v>46132</v>
      </c>
      <c r="B79" s="1">
        <f t="shared" si="5"/>
        <v>14673.210898666404</v>
      </c>
      <c r="C79">
        <f t="shared" si="3"/>
        <v>3.5342465753424658E-4</v>
      </c>
      <c r="D79" s="1">
        <f>B79*Table1[[#This Row],[Дневная ставка]]</f>
        <v>5.1858745367889485</v>
      </c>
      <c r="E79">
        <v>0</v>
      </c>
      <c r="F79" s="1">
        <f t="shared" si="4"/>
        <v>14678.396773203192</v>
      </c>
    </row>
    <row r="80" spans="1:6" x14ac:dyDescent="0.3">
      <c r="A80" s="3">
        <v>46133</v>
      </c>
      <c r="B80" s="1">
        <f t="shared" si="5"/>
        <v>14678.396773203192</v>
      </c>
      <c r="C80">
        <f t="shared" si="3"/>
        <v>3.5342465753424658E-4</v>
      </c>
      <c r="D80" s="1">
        <f>B80*Table1[[#This Row],[Дневная ставка]]</f>
        <v>5.1877073527211284</v>
      </c>
      <c r="E80">
        <v>0</v>
      </c>
      <c r="F80" s="1">
        <f t="shared" si="4"/>
        <v>14683.584480555914</v>
      </c>
    </row>
    <row r="81" spans="1:6" x14ac:dyDescent="0.3">
      <c r="A81" s="3">
        <v>46134</v>
      </c>
      <c r="B81" s="1">
        <f t="shared" si="5"/>
        <v>14683.584480555914</v>
      </c>
      <c r="C81">
        <f t="shared" si="3"/>
        <v>3.5342465753424658E-4</v>
      </c>
      <c r="D81" s="1">
        <f>B81*Table1[[#This Row],[Дневная ставка]]</f>
        <v>5.1895408164156516</v>
      </c>
      <c r="E81">
        <v>0</v>
      </c>
      <c r="F81" s="1">
        <f t="shared" si="4"/>
        <v>14688.77402137233</v>
      </c>
    </row>
    <row r="82" spans="1:6" x14ac:dyDescent="0.3">
      <c r="A82" s="3">
        <v>46135</v>
      </c>
      <c r="B82" s="1">
        <f t="shared" si="5"/>
        <v>14688.77402137233</v>
      </c>
      <c r="C82">
        <f t="shared" si="3"/>
        <v>3.5342465753424658E-4</v>
      </c>
      <c r="D82" s="1">
        <f>B82*Table1[[#This Row],[Дневная ставка]]</f>
        <v>5.1913749281014541</v>
      </c>
      <c r="E82">
        <v>0</v>
      </c>
      <c r="F82" s="1">
        <f t="shared" si="4"/>
        <v>14693.965396300431</v>
      </c>
    </row>
    <row r="83" spans="1:6" x14ac:dyDescent="0.3">
      <c r="A83" s="3">
        <v>46136</v>
      </c>
      <c r="B83" s="1">
        <f t="shared" si="5"/>
        <v>14693.965396300431</v>
      </c>
      <c r="C83">
        <f t="shared" si="3"/>
        <v>3.5342465753424658E-4</v>
      </c>
      <c r="D83" s="1">
        <f>B83*Table1[[#This Row],[Дневная ставка]]</f>
        <v>5.19320968800755</v>
      </c>
      <c r="E83">
        <v>0</v>
      </c>
      <c r="F83" s="1">
        <f t="shared" si="4"/>
        <v>14699.158605988439</v>
      </c>
    </row>
    <row r="84" spans="1:6" x14ac:dyDescent="0.3">
      <c r="A84" s="3">
        <v>46137</v>
      </c>
      <c r="B84" s="1">
        <f t="shared" si="5"/>
        <v>14699.158605988439</v>
      </c>
      <c r="C84">
        <f t="shared" ref="C84:C147" si="6">(12.9%/365)</f>
        <v>3.5342465753424658E-4</v>
      </c>
      <c r="D84" s="1">
        <f>B84*Table1[[#This Row],[Дневная ставка]]</f>
        <v>5.1950450963630379</v>
      </c>
      <c r="E84">
        <v>0</v>
      </c>
      <c r="F84" s="1">
        <f t="shared" si="4"/>
        <v>14704.353651084803</v>
      </c>
    </row>
    <row r="85" spans="1:6" x14ac:dyDescent="0.3">
      <c r="A85" s="3">
        <v>46138</v>
      </c>
      <c r="B85" s="1">
        <f t="shared" si="5"/>
        <v>14704.353651084803</v>
      </c>
      <c r="C85">
        <f t="shared" si="6"/>
        <v>3.5342465753424658E-4</v>
      </c>
      <c r="D85" s="1">
        <f>B85*Table1[[#This Row],[Дневная ставка]]</f>
        <v>5.1968811533970944</v>
      </c>
      <c r="E85">
        <v>0</v>
      </c>
      <c r="F85" s="1">
        <f t="shared" si="4"/>
        <v>14709.5505322382</v>
      </c>
    </row>
    <row r="86" spans="1:6" x14ac:dyDescent="0.3">
      <c r="A86" s="3">
        <v>46139</v>
      </c>
      <c r="B86" s="1">
        <f t="shared" si="5"/>
        <v>14709.5505322382</v>
      </c>
      <c r="C86">
        <f t="shared" si="6"/>
        <v>3.5342465753424658E-4</v>
      </c>
      <c r="D86" s="1">
        <f>B86*Table1[[#This Row],[Дневная ставка]]</f>
        <v>5.1987178593389807</v>
      </c>
      <c r="E86">
        <v>0</v>
      </c>
      <c r="F86" s="1">
        <f t="shared" si="4"/>
        <v>14714.749250097539</v>
      </c>
    </row>
    <row r="87" spans="1:6" x14ac:dyDescent="0.3">
      <c r="A87" s="3">
        <v>46140</v>
      </c>
      <c r="B87" s="1">
        <f t="shared" si="5"/>
        <v>14714.749250097539</v>
      </c>
      <c r="C87">
        <f t="shared" si="6"/>
        <v>3.5342465753424658E-4</v>
      </c>
      <c r="D87" s="1">
        <f>B87*Table1[[#This Row],[Дневная ставка]]</f>
        <v>5.200555214418034</v>
      </c>
      <c r="E87">
        <v>0</v>
      </c>
      <c r="F87" s="1">
        <f t="shared" si="4"/>
        <v>14719.949805311957</v>
      </c>
    </row>
    <row r="88" spans="1:6" x14ac:dyDescent="0.3">
      <c r="A88" s="3">
        <v>46141</v>
      </c>
      <c r="B88" s="1">
        <f t="shared" si="5"/>
        <v>14719.949805311957</v>
      </c>
      <c r="C88">
        <f t="shared" si="6"/>
        <v>3.5342465753424658E-4</v>
      </c>
      <c r="D88" s="1">
        <f>B88*Table1[[#This Row],[Дневная ставка]]</f>
        <v>5.2023932188636781</v>
      </c>
      <c r="E88">
        <v>0</v>
      </c>
      <c r="F88" s="1">
        <f t="shared" si="4"/>
        <v>14725.152198530821</v>
      </c>
    </row>
    <row r="89" spans="1:6" x14ac:dyDescent="0.3">
      <c r="A89" s="3">
        <v>46142</v>
      </c>
      <c r="B89" s="1">
        <f t="shared" si="5"/>
        <v>14725.152198530821</v>
      </c>
      <c r="C89">
        <f t="shared" si="6"/>
        <v>3.5342465753424658E-4</v>
      </c>
      <c r="D89" s="1">
        <f>B89*Table1[[#This Row],[Дневная ставка]]</f>
        <v>5.2042318729054138</v>
      </c>
      <c r="E89">
        <v>0</v>
      </c>
      <c r="F89" s="1">
        <f t="shared" si="4"/>
        <v>14730.356430403726</v>
      </c>
    </row>
    <row r="90" spans="1:6" x14ac:dyDescent="0.3">
      <c r="A90" s="3">
        <v>46143</v>
      </c>
      <c r="B90" s="1">
        <f t="shared" si="5"/>
        <v>14730.356430403726</v>
      </c>
      <c r="C90">
        <f t="shared" si="6"/>
        <v>3.5342465753424658E-4</v>
      </c>
      <c r="D90" s="1">
        <f>B90*Table1[[#This Row],[Дневная ставка]]</f>
        <v>5.2060711767728236</v>
      </c>
      <c r="E90">
        <v>0</v>
      </c>
      <c r="F90" s="1">
        <f t="shared" si="4"/>
        <v>14735.5625015805</v>
      </c>
    </row>
    <row r="91" spans="1:6" x14ac:dyDescent="0.3">
      <c r="A91" s="3">
        <v>46144</v>
      </c>
      <c r="B91" s="1">
        <f t="shared" si="5"/>
        <v>14735.5625015805</v>
      </c>
      <c r="C91">
        <f t="shared" si="6"/>
        <v>3.5342465753424658E-4</v>
      </c>
      <c r="D91" s="1">
        <f>B91*Table1[[#This Row],[Дневная ставка]]</f>
        <v>5.2079111306955737</v>
      </c>
      <c r="E91">
        <v>0</v>
      </c>
      <c r="F91" s="1">
        <f t="shared" si="4"/>
        <v>14740.770412711196</v>
      </c>
    </row>
    <row r="92" spans="1:6" x14ac:dyDescent="0.3">
      <c r="A92" s="3">
        <v>46145</v>
      </c>
      <c r="B92" s="1">
        <f t="shared" si="5"/>
        <v>14740.770412711196</v>
      </c>
      <c r="C92">
        <f t="shared" si="6"/>
        <v>3.5342465753424658E-4</v>
      </c>
      <c r="D92" s="1">
        <f>B92*Table1[[#This Row],[Дневная ставка]]</f>
        <v>5.209751734903409</v>
      </c>
      <c r="E92">
        <v>0</v>
      </c>
      <c r="F92" s="1">
        <f t="shared" si="4"/>
        <v>14745.980164446099</v>
      </c>
    </row>
    <row r="93" spans="1:6" x14ac:dyDescent="0.3">
      <c r="A93" s="3">
        <v>46146</v>
      </c>
      <c r="B93" s="1">
        <f t="shared" si="5"/>
        <v>14745.980164446099</v>
      </c>
      <c r="C93">
        <f t="shared" si="6"/>
        <v>3.5342465753424658E-4</v>
      </c>
      <c r="D93" s="1">
        <f>B93*Table1[[#This Row],[Дневная ставка]]</f>
        <v>5.2115929896261557</v>
      </c>
      <c r="E93">
        <v>0</v>
      </c>
      <c r="F93" s="1">
        <f t="shared" si="4"/>
        <v>14751.191757435725</v>
      </c>
    </row>
    <row r="94" spans="1:6" x14ac:dyDescent="0.3">
      <c r="A94" s="3">
        <v>46147</v>
      </c>
      <c r="B94" s="1">
        <f t="shared" si="5"/>
        <v>14751.191757435725</v>
      </c>
      <c r="C94">
        <f t="shared" si="6"/>
        <v>3.5342465753424658E-4</v>
      </c>
      <c r="D94" s="1">
        <f>B94*Table1[[#This Row],[Дневная ставка]]</f>
        <v>5.2134348950937222</v>
      </c>
      <c r="E94">
        <v>0</v>
      </c>
      <c r="F94" s="1">
        <f t="shared" si="4"/>
        <v>14756.405192330818</v>
      </c>
    </row>
    <row r="95" spans="1:6" x14ac:dyDescent="0.3">
      <c r="A95" s="3">
        <v>46148</v>
      </c>
      <c r="B95" s="1">
        <f t="shared" si="5"/>
        <v>14756.405192330818</v>
      </c>
      <c r="C95">
        <f t="shared" si="6"/>
        <v>3.5342465753424658E-4</v>
      </c>
      <c r="D95" s="1">
        <f>B95*Table1[[#This Row],[Дневная ставка]]</f>
        <v>5.2152774515360978</v>
      </c>
      <c r="E95">
        <v>0</v>
      </c>
      <c r="F95" s="1">
        <f t="shared" si="4"/>
        <v>14761.620469782354</v>
      </c>
    </row>
    <row r="96" spans="1:6" x14ac:dyDescent="0.3">
      <c r="A96" s="3">
        <v>46149</v>
      </c>
      <c r="B96" s="1">
        <f t="shared" si="5"/>
        <v>14761.620469782354</v>
      </c>
      <c r="C96">
        <f t="shared" si="6"/>
        <v>3.5342465753424658E-4</v>
      </c>
      <c r="D96" s="1">
        <f>B96*Table1[[#This Row],[Дневная ставка]]</f>
        <v>5.2171206591833528</v>
      </c>
      <c r="E96">
        <v>0</v>
      </c>
      <c r="F96" s="1">
        <f t="shared" si="4"/>
        <v>14766.837590441537</v>
      </c>
    </row>
    <row r="97" spans="1:6" x14ac:dyDescent="0.3">
      <c r="A97" s="3">
        <v>46150</v>
      </c>
      <c r="B97" s="1">
        <f t="shared" si="5"/>
        <v>14766.837590441537</v>
      </c>
      <c r="C97">
        <f t="shared" si="6"/>
        <v>3.5342465753424658E-4</v>
      </c>
      <c r="D97" s="1">
        <f>B97*Table1[[#This Row],[Дневная ставка]]</f>
        <v>5.218964518265639</v>
      </c>
      <c r="E97">
        <v>0</v>
      </c>
      <c r="F97" s="1">
        <f t="shared" si="4"/>
        <v>14772.056554959803</v>
      </c>
    </row>
    <row r="98" spans="1:6" x14ac:dyDescent="0.3">
      <c r="A98" s="3">
        <v>46151</v>
      </c>
      <c r="B98" s="1">
        <f t="shared" si="5"/>
        <v>14772.056554959803</v>
      </c>
      <c r="C98">
        <f t="shared" si="6"/>
        <v>3.5342465753424658E-4</v>
      </c>
      <c r="D98" s="1">
        <f>B98*Table1[[#This Row],[Дневная ставка]]</f>
        <v>5.220809029013191</v>
      </c>
      <c r="E98">
        <v>0</v>
      </c>
      <c r="F98" s="1">
        <f t="shared" si="4"/>
        <v>14777.277363988816</v>
      </c>
    </row>
    <row r="99" spans="1:6" x14ac:dyDescent="0.3">
      <c r="A99" s="3">
        <v>46152</v>
      </c>
      <c r="B99" s="1">
        <f t="shared" si="5"/>
        <v>14777.277363988816</v>
      </c>
      <c r="C99">
        <f t="shared" si="6"/>
        <v>3.5342465753424658E-4</v>
      </c>
      <c r="D99" s="1">
        <f>B99*Table1[[#This Row],[Дневная ставка]]</f>
        <v>5.2226541916563214</v>
      </c>
      <c r="E99">
        <v>0</v>
      </c>
      <c r="F99" s="1">
        <f t="shared" si="4"/>
        <v>14782.500018180473</v>
      </c>
    </row>
    <row r="100" spans="1:6" x14ac:dyDescent="0.3">
      <c r="A100" s="3">
        <v>46153</v>
      </c>
      <c r="B100" s="1">
        <f t="shared" si="5"/>
        <v>14782.500018180473</v>
      </c>
      <c r="C100">
        <f t="shared" si="6"/>
        <v>3.5342465753424658E-4</v>
      </c>
      <c r="D100" s="1">
        <f>B100*Table1[[#This Row],[Дневная ставка]]</f>
        <v>5.2245000064254281</v>
      </c>
      <c r="E100">
        <v>0</v>
      </c>
      <c r="F100" s="1">
        <f t="shared" si="4"/>
        <v>14787.724518186898</v>
      </c>
    </row>
    <row r="101" spans="1:6" x14ac:dyDescent="0.3">
      <c r="A101" s="3">
        <v>46154</v>
      </c>
      <c r="B101" s="1">
        <f t="shared" si="5"/>
        <v>14787.724518186898</v>
      </c>
      <c r="C101">
        <f t="shared" si="6"/>
        <v>3.5342465753424658E-4</v>
      </c>
      <c r="D101" s="1">
        <f>B101*Table1[[#This Row],[Дневная ставка]]</f>
        <v>5.2263464735509864</v>
      </c>
      <c r="E101">
        <v>0</v>
      </c>
      <c r="F101" s="1">
        <f t="shared" si="4"/>
        <v>14792.95086466045</v>
      </c>
    </row>
    <row r="102" spans="1:6" x14ac:dyDescent="0.3">
      <c r="A102" s="3">
        <v>46155</v>
      </c>
      <c r="B102" s="1">
        <f t="shared" si="5"/>
        <v>14792.95086466045</v>
      </c>
      <c r="C102">
        <f t="shared" si="6"/>
        <v>3.5342465753424658E-4</v>
      </c>
      <c r="D102" s="1">
        <f>B102*Table1[[#This Row],[Дневная ставка]]</f>
        <v>5.2281935932635566</v>
      </c>
      <c r="E102">
        <v>0</v>
      </c>
      <c r="F102" s="1">
        <f t="shared" si="4"/>
        <v>14798.179058253714</v>
      </c>
    </row>
    <row r="103" spans="1:6" x14ac:dyDescent="0.3">
      <c r="A103" s="3">
        <v>46156</v>
      </c>
      <c r="B103" s="1">
        <f t="shared" si="5"/>
        <v>14798.179058253714</v>
      </c>
      <c r="C103">
        <f t="shared" si="6"/>
        <v>3.5342465753424658E-4</v>
      </c>
      <c r="D103" s="1">
        <f>B103*Table1[[#This Row],[Дневная ставка]]</f>
        <v>5.2300413657937783</v>
      </c>
      <c r="E103">
        <v>0</v>
      </c>
      <c r="F103" s="1">
        <f t="shared" si="4"/>
        <v>14803.409099619508</v>
      </c>
    </row>
    <row r="104" spans="1:6" x14ac:dyDescent="0.3">
      <c r="A104" s="3">
        <v>46157</v>
      </c>
      <c r="B104" s="1">
        <f t="shared" si="5"/>
        <v>14803.409099619508</v>
      </c>
      <c r="C104">
        <f t="shared" si="6"/>
        <v>3.5342465753424658E-4</v>
      </c>
      <c r="D104" s="1">
        <f>B104*Table1[[#This Row],[Дневная ставка]]</f>
        <v>5.2318897913723745</v>
      </c>
      <c r="E104">
        <v>0</v>
      </c>
      <c r="F104" s="1">
        <f t="shared" si="4"/>
        <v>14808.64098941088</v>
      </c>
    </row>
    <row r="105" spans="1:6" x14ac:dyDescent="0.3">
      <c r="A105" s="3">
        <v>46158</v>
      </c>
      <c r="B105" s="1">
        <f t="shared" si="5"/>
        <v>14808.64098941088</v>
      </c>
      <c r="C105">
        <f t="shared" si="6"/>
        <v>3.5342465753424658E-4</v>
      </c>
      <c r="D105" s="1">
        <f>B105*Table1[[#This Row],[Дневная ставка]]</f>
        <v>5.2337388702301464</v>
      </c>
      <c r="E105">
        <v>0</v>
      </c>
      <c r="F105" s="1">
        <f t="shared" si="4"/>
        <v>14813.874728281111</v>
      </c>
    </row>
    <row r="106" spans="1:6" x14ac:dyDescent="0.3">
      <c r="A106" s="3">
        <v>46159</v>
      </c>
      <c r="B106" s="1">
        <f t="shared" si="5"/>
        <v>14813.874728281111</v>
      </c>
      <c r="C106">
        <f t="shared" si="6"/>
        <v>3.5342465753424658E-4</v>
      </c>
      <c r="D106" s="1">
        <f>B106*Table1[[#This Row],[Дневная ставка]]</f>
        <v>5.2355886025979821</v>
      </c>
      <c r="E106">
        <v>0</v>
      </c>
      <c r="F106" s="1">
        <f t="shared" si="4"/>
        <v>14819.110316883709</v>
      </c>
    </row>
    <row r="107" spans="1:6" x14ac:dyDescent="0.3">
      <c r="A107" s="3">
        <v>46160</v>
      </c>
      <c r="B107" s="1">
        <f t="shared" si="5"/>
        <v>14819.110316883709</v>
      </c>
      <c r="C107">
        <f t="shared" si="6"/>
        <v>3.5342465753424658E-4</v>
      </c>
      <c r="D107" s="1">
        <f>B107*Table1[[#This Row],[Дневная ставка]]</f>
        <v>5.2374389887068453</v>
      </c>
      <c r="E107">
        <v>0</v>
      </c>
      <c r="F107" s="1">
        <f t="shared" si="4"/>
        <v>14824.347755872415</v>
      </c>
    </row>
    <row r="108" spans="1:6" x14ac:dyDescent="0.3">
      <c r="A108" s="3">
        <v>46161</v>
      </c>
      <c r="B108" s="1">
        <f t="shared" si="5"/>
        <v>14824.347755872415</v>
      </c>
      <c r="C108">
        <f t="shared" si="6"/>
        <v>3.5342465753424658E-4</v>
      </c>
      <c r="D108" s="1">
        <f>B108*Table1[[#This Row],[Дневная ставка]]</f>
        <v>5.239290028787785</v>
      </c>
      <c r="E108">
        <v>650.05999999999995</v>
      </c>
      <c r="F108" s="1">
        <f t="shared" si="4"/>
        <v>14179.527045901204</v>
      </c>
    </row>
    <row r="109" spans="1:6" x14ac:dyDescent="0.3">
      <c r="A109" s="3">
        <v>46162</v>
      </c>
      <c r="B109" s="1">
        <f t="shared" si="5"/>
        <v>14179.527045901204</v>
      </c>
      <c r="C109">
        <f t="shared" si="6"/>
        <v>3.5342465753424658E-4</v>
      </c>
      <c r="D109" s="1">
        <f>B109*Table1[[#This Row],[Дневная ставка]]</f>
        <v>5.0113944901952205</v>
      </c>
      <c r="E109">
        <v>0</v>
      </c>
      <c r="F109" s="1">
        <f t="shared" si="4"/>
        <v>14184.538440391399</v>
      </c>
    </row>
    <row r="110" spans="1:6" x14ac:dyDescent="0.3">
      <c r="A110" s="3">
        <v>46163</v>
      </c>
      <c r="B110" s="1">
        <f t="shared" si="5"/>
        <v>14184.538440391399</v>
      </c>
      <c r="C110">
        <f t="shared" si="6"/>
        <v>3.5342465753424658E-4</v>
      </c>
      <c r="D110" s="1">
        <f>B110*Table1[[#This Row],[Дневная ставка]]</f>
        <v>5.0131656405766867</v>
      </c>
      <c r="E110">
        <v>0</v>
      </c>
      <c r="F110" s="1">
        <f t="shared" si="4"/>
        <v>14189.551606031977</v>
      </c>
    </row>
    <row r="111" spans="1:6" x14ac:dyDescent="0.3">
      <c r="A111" s="3">
        <v>46164</v>
      </c>
      <c r="B111" s="1">
        <f t="shared" si="5"/>
        <v>14189.551606031977</v>
      </c>
      <c r="C111">
        <f t="shared" si="6"/>
        <v>3.5342465753424658E-4</v>
      </c>
      <c r="D111" s="1">
        <f>B111*Table1[[#This Row],[Дневная ставка]]</f>
        <v>5.0149374169263696</v>
      </c>
      <c r="E111">
        <v>0</v>
      </c>
      <c r="F111" s="1">
        <f t="shared" si="4"/>
        <v>14194.566543448904</v>
      </c>
    </row>
    <row r="112" spans="1:6" x14ac:dyDescent="0.3">
      <c r="A112" s="3">
        <v>46165</v>
      </c>
      <c r="B112" s="1">
        <f t="shared" si="5"/>
        <v>14194.566543448904</v>
      </c>
      <c r="C112">
        <f t="shared" si="6"/>
        <v>3.5342465753424658E-4</v>
      </c>
      <c r="D112" s="1">
        <f>B112*Table1[[#This Row],[Дневная ставка]]</f>
        <v>5.0167098194655031</v>
      </c>
      <c r="E112">
        <v>0</v>
      </c>
      <c r="F112" s="1">
        <f t="shared" si="4"/>
        <v>14199.583253268369</v>
      </c>
    </row>
    <row r="113" spans="1:6" x14ac:dyDescent="0.3">
      <c r="A113" s="3">
        <v>46166</v>
      </c>
      <c r="B113" s="1">
        <f t="shared" si="5"/>
        <v>14199.583253268369</v>
      </c>
      <c r="C113">
        <f t="shared" si="6"/>
        <v>3.5342465753424658E-4</v>
      </c>
      <c r="D113" s="1">
        <f>B113*Table1[[#This Row],[Дневная ставка]]</f>
        <v>5.0184828484153963</v>
      </c>
      <c r="E113">
        <v>0</v>
      </c>
      <c r="F113" s="1">
        <f t="shared" si="4"/>
        <v>14204.601736116785</v>
      </c>
    </row>
    <row r="114" spans="1:6" x14ac:dyDescent="0.3">
      <c r="A114" s="3">
        <v>46167</v>
      </c>
      <c r="B114" s="1">
        <f t="shared" si="5"/>
        <v>14204.601736116785</v>
      </c>
      <c r="C114">
        <f t="shared" si="6"/>
        <v>3.5342465753424658E-4</v>
      </c>
      <c r="D114" s="1">
        <f>B114*Table1[[#This Row],[Дневная ставка]]</f>
        <v>5.0202565039974392</v>
      </c>
      <c r="E114">
        <v>0</v>
      </c>
      <c r="F114" s="1">
        <f t="shared" si="4"/>
        <v>14209.621992620783</v>
      </c>
    </row>
    <row r="115" spans="1:6" x14ac:dyDescent="0.3">
      <c r="A115" s="3">
        <v>46168</v>
      </c>
      <c r="B115" s="1">
        <f t="shared" si="5"/>
        <v>14209.621992620783</v>
      </c>
      <c r="C115">
        <f t="shared" si="6"/>
        <v>3.5342465753424658E-4</v>
      </c>
      <c r="D115" s="1">
        <f>B115*Table1[[#This Row],[Дневная ставка]]</f>
        <v>5.0220307864330991</v>
      </c>
      <c r="E115">
        <v>0</v>
      </c>
      <c r="F115" s="1">
        <f t="shared" si="4"/>
        <v>14214.644023407216</v>
      </c>
    </row>
    <row r="116" spans="1:6" x14ac:dyDescent="0.3">
      <c r="A116" s="3">
        <v>46169</v>
      </c>
      <c r="B116" s="1">
        <f t="shared" si="5"/>
        <v>14214.644023407216</v>
      </c>
      <c r="C116">
        <f t="shared" si="6"/>
        <v>3.5342465753424658E-4</v>
      </c>
      <c r="D116" s="1">
        <f>B116*Table1[[#This Row],[Дневная ставка]]</f>
        <v>5.0238056959439206</v>
      </c>
      <c r="E116">
        <v>0</v>
      </c>
      <c r="F116" s="1">
        <f t="shared" si="4"/>
        <v>14219.66782910316</v>
      </c>
    </row>
    <row r="117" spans="1:6" x14ac:dyDescent="0.3">
      <c r="A117" s="3">
        <v>46170</v>
      </c>
      <c r="B117" s="1">
        <f t="shared" si="5"/>
        <v>14219.66782910316</v>
      </c>
      <c r="C117">
        <f t="shared" si="6"/>
        <v>3.5342465753424658E-4</v>
      </c>
      <c r="D117" s="1">
        <f>B117*Table1[[#This Row],[Дневная ставка]]</f>
        <v>5.0255812327515281</v>
      </c>
      <c r="E117">
        <v>0</v>
      </c>
      <c r="F117" s="1">
        <f t="shared" si="4"/>
        <v>14224.693410335913</v>
      </c>
    </row>
    <row r="118" spans="1:6" x14ac:dyDescent="0.3">
      <c r="A118" s="3">
        <v>46171</v>
      </c>
      <c r="B118" s="1">
        <f t="shared" si="5"/>
        <v>14224.693410335913</v>
      </c>
      <c r="C118">
        <f t="shared" si="6"/>
        <v>3.5342465753424658E-4</v>
      </c>
      <c r="D118" s="1">
        <f>B118*Table1[[#This Row],[Дневная ставка]]</f>
        <v>5.0273573970776244</v>
      </c>
      <c r="E118">
        <v>0</v>
      </c>
      <c r="F118" s="1">
        <f t="shared" si="4"/>
        <v>14229.72076773299</v>
      </c>
    </row>
    <row r="119" spans="1:6" x14ac:dyDescent="0.3">
      <c r="A119" s="3">
        <v>46172</v>
      </c>
      <c r="B119" s="1">
        <f t="shared" si="5"/>
        <v>14229.72076773299</v>
      </c>
      <c r="C119">
        <f t="shared" si="6"/>
        <v>3.5342465753424658E-4</v>
      </c>
      <c r="D119" s="1">
        <f>B119*Table1[[#This Row],[Дневная ставка]]</f>
        <v>5.0291341891439885</v>
      </c>
      <c r="E119">
        <v>0</v>
      </c>
      <c r="F119" s="1">
        <f t="shared" si="4"/>
        <v>14234.749901922134</v>
      </c>
    </row>
    <row r="120" spans="1:6" x14ac:dyDescent="0.3">
      <c r="A120" s="3">
        <v>46173</v>
      </c>
      <c r="B120" s="1">
        <f t="shared" si="5"/>
        <v>14234.749901922134</v>
      </c>
      <c r="C120">
        <f t="shared" si="6"/>
        <v>3.5342465753424658E-4</v>
      </c>
      <c r="D120" s="1">
        <f>B120*Table1[[#This Row],[Дневная ставка]]</f>
        <v>5.0309116091724801</v>
      </c>
      <c r="E120">
        <v>0</v>
      </c>
      <c r="F120" s="1">
        <f t="shared" si="4"/>
        <v>14239.780813531306</v>
      </c>
    </row>
    <row r="121" spans="1:6" x14ac:dyDescent="0.3">
      <c r="A121" s="3">
        <v>46174</v>
      </c>
      <c r="B121" s="1">
        <f t="shared" si="5"/>
        <v>14239.780813531306</v>
      </c>
      <c r="C121">
        <f t="shared" si="6"/>
        <v>3.5342465753424658E-4</v>
      </c>
      <c r="D121" s="1">
        <f>B121*Table1[[#This Row],[Дневная ставка]]</f>
        <v>5.0326896573850375</v>
      </c>
      <c r="E121">
        <v>0</v>
      </c>
      <c r="F121" s="1">
        <f t="shared" si="4"/>
        <v>14244.81350318869</v>
      </c>
    </row>
    <row r="122" spans="1:6" x14ac:dyDescent="0.3">
      <c r="A122" s="3">
        <v>46175</v>
      </c>
      <c r="B122" s="1">
        <f t="shared" si="5"/>
        <v>14244.81350318869</v>
      </c>
      <c r="C122">
        <f t="shared" si="6"/>
        <v>3.5342465753424658E-4</v>
      </c>
      <c r="D122" s="1">
        <f>B122*Table1[[#This Row],[Дневная ставка]]</f>
        <v>5.034468334003674</v>
      </c>
      <c r="E122">
        <v>0</v>
      </c>
      <c r="F122" s="1">
        <f t="shared" si="4"/>
        <v>14249.847971522695</v>
      </c>
    </row>
    <row r="123" spans="1:6" x14ac:dyDescent="0.3">
      <c r="A123" s="3">
        <v>46176</v>
      </c>
      <c r="B123" s="1">
        <f t="shared" si="5"/>
        <v>14249.847971522695</v>
      </c>
      <c r="C123">
        <f t="shared" si="6"/>
        <v>3.5342465753424658E-4</v>
      </c>
      <c r="D123" s="1">
        <f>B123*Table1[[#This Row],[Дневная ставка]]</f>
        <v>5.0362476392504867</v>
      </c>
      <c r="E123">
        <v>0</v>
      </c>
      <c r="F123" s="1">
        <f t="shared" si="4"/>
        <v>14254.884219161946</v>
      </c>
    </row>
    <row r="124" spans="1:6" x14ac:dyDescent="0.3">
      <c r="A124" s="3">
        <v>46177</v>
      </c>
      <c r="B124" s="1">
        <f t="shared" si="5"/>
        <v>14254.884219161946</v>
      </c>
      <c r="C124">
        <f t="shared" si="6"/>
        <v>3.5342465753424658E-4</v>
      </c>
      <c r="D124" s="1">
        <f>B124*Table1[[#This Row],[Дневная ставка]]</f>
        <v>5.0380275733476472</v>
      </c>
      <c r="E124">
        <v>0</v>
      </c>
      <c r="F124" s="1">
        <f t="shared" si="4"/>
        <v>14259.922246735294</v>
      </c>
    </row>
    <row r="125" spans="1:6" x14ac:dyDescent="0.3">
      <c r="A125" s="3">
        <v>46178</v>
      </c>
      <c r="B125" s="1">
        <f t="shared" si="5"/>
        <v>14259.922246735294</v>
      </c>
      <c r="C125">
        <f t="shared" si="6"/>
        <v>3.5342465753424658E-4</v>
      </c>
      <c r="D125" s="1">
        <f>B125*Table1[[#This Row],[Дневная ставка]]</f>
        <v>5.0398081365174052</v>
      </c>
      <c r="E125">
        <v>0</v>
      </c>
      <c r="F125" s="1">
        <f t="shared" si="4"/>
        <v>14264.96205487181</v>
      </c>
    </row>
    <row r="126" spans="1:6" x14ac:dyDescent="0.3">
      <c r="A126" s="3">
        <v>46179</v>
      </c>
      <c r="B126" s="1">
        <f t="shared" si="5"/>
        <v>14264.96205487181</v>
      </c>
      <c r="C126">
        <f t="shared" si="6"/>
        <v>3.5342465753424658E-4</v>
      </c>
      <c r="D126" s="1">
        <f>B126*Table1[[#This Row],[Дневная ставка]]</f>
        <v>5.0415893289820923</v>
      </c>
      <c r="E126">
        <v>0</v>
      </c>
      <c r="F126" s="1">
        <f t="shared" si="4"/>
        <v>14270.003644200793</v>
      </c>
    </row>
    <row r="127" spans="1:6" x14ac:dyDescent="0.3">
      <c r="A127" s="3">
        <v>46180</v>
      </c>
      <c r="B127" s="1">
        <f t="shared" si="5"/>
        <v>14270.003644200793</v>
      </c>
      <c r="C127">
        <f t="shared" si="6"/>
        <v>3.5342465753424658E-4</v>
      </c>
      <c r="D127" s="1">
        <f>B127*Table1[[#This Row],[Дневная ставка]]</f>
        <v>5.0433711509641164</v>
      </c>
      <c r="E127">
        <v>0</v>
      </c>
      <c r="F127" s="1">
        <f t="shared" si="4"/>
        <v>14275.047015351758</v>
      </c>
    </row>
    <row r="128" spans="1:6" x14ac:dyDescent="0.3">
      <c r="A128" s="3">
        <v>46181</v>
      </c>
      <c r="B128" s="1">
        <f t="shared" si="5"/>
        <v>14275.047015351758</v>
      </c>
      <c r="C128">
        <f t="shared" si="6"/>
        <v>3.5342465753424658E-4</v>
      </c>
      <c r="D128" s="1">
        <f>B128*Table1[[#This Row],[Дневная ставка]]</f>
        <v>5.0451536026859642</v>
      </c>
      <c r="E128">
        <v>0</v>
      </c>
      <c r="F128" s="1">
        <f t="shared" si="4"/>
        <v>14280.092168954445</v>
      </c>
    </row>
    <row r="129" spans="1:6" x14ac:dyDescent="0.3">
      <c r="A129" s="3">
        <v>46182</v>
      </c>
      <c r="B129" s="1">
        <f t="shared" si="5"/>
        <v>14280.092168954445</v>
      </c>
      <c r="C129">
        <f t="shared" si="6"/>
        <v>3.5342465753424658E-4</v>
      </c>
      <c r="D129" s="1">
        <f>B129*Table1[[#This Row],[Дневная ставка]]</f>
        <v>5.046936684370201</v>
      </c>
      <c r="E129">
        <v>0</v>
      </c>
      <c r="F129" s="1">
        <f t="shared" si="4"/>
        <v>14285.139105638815</v>
      </c>
    </row>
    <row r="130" spans="1:6" x14ac:dyDescent="0.3">
      <c r="A130" s="3">
        <v>46183</v>
      </c>
      <c r="B130" s="1">
        <f t="shared" si="5"/>
        <v>14285.139105638815</v>
      </c>
      <c r="C130">
        <f t="shared" si="6"/>
        <v>3.5342465753424658E-4</v>
      </c>
      <c r="D130" s="1">
        <f>B130*Table1[[#This Row],[Дневная ставка]]</f>
        <v>5.0487203962394718</v>
      </c>
      <c r="E130">
        <v>0</v>
      </c>
      <c r="F130" s="1">
        <f t="shared" si="4"/>
        <v>14290.187826035055</v>
      </c>
    </row>
    <row r="131" spans="1:6" x14ac:dyDescent="0.3">
      <c r="A131" s="3">
        <v>46184</v>
      </c>
      <c r="B131" s="1">
        <f t="shared" si="5"/>
        <v>14290.187826035055</v>
      </c>
      <c r="C131">
        <f t="shared" si="6"/>
        <v>3.5342465753424658E-4</v>
      </c>
      <c r="D131" s="1">
        <f>B131*Table1[[#This Row],[Дневная ставка]]</f>
        <v>5.0505047385164987</v>
      </c>
      <c r="E131">
        <v>0</v>
      </c>
      <c r="F131" s="1">
        <f t="shared" ref="F131:F194" si="7">B131+D131-E131</f>
        <v>14295.238330773571</v>
      </c>
    </row>
    <row r="132" spans="1:6" x14ac:dyDescent="0.3">
      <c r="A132" s="3">
        <v>46185</v>
      </c>
      <c r="B132" s="1">
        <f t="shared" ref="B132:B195" si="8">F131</f>
        <v>14295.238330773571</v>
      </c>
      <c r="C132">
        <f t="shared" si="6"/>
        <v>3.5342465753424658E-4</v>
      </c>
      <c r="D132" s="1">
        <f>B132*Table1[[#This Row],[Дневная ставка]]</f>
        <v>5.0522897114240841</v>
      </c>
      <c r="E132">
        <v>0</v>
      </c>
      <c r="F132" s="1">
        <f t="shared" si="7"/>
        <v>14300.290620484995</v>
      </c>
    </row>
    <row r="133" spans="1:6" x14ac:dyDescent="0.3">
      <c r="A133" s="3">
        <v>46186</v>
      </c>
      <c r="B133" s="1">
        <f t="shared" si="8"/>
        <v>14300.290620484995</v>
      </c>
      <c r="C133">
        <f t="shared" si="6"/>
        <v>3.5342465753424658E-4</v>
      </c>
      <c r="D133" s="1">
        <f>B133*Table1[[#This Row],[Дневная ставка]]</f>
        <v>5.0540753151851083</v>
      </c>
      <c r="E133">
        <v>0</v>
      </c>
      <c r="F133" s="1">
        <f t="shared" si="7"/>
        <v>14305.34469580018</v>
      </c>
    </row>
    <row r="134" spans="1:6" x14ac:dyDescent="0.3">
      <c r="A134" s="3">
        <v>46187</v>
      </c>
      <c r="B134" s="1">
        <f t="shared" si="8"/>
        <v>14305.34469580018</v>
      </c>
      <c r="C134">
        <f t="shared" si="6"/>
        <v>3.5342465753424658E-4</v>
      </c>
      <c r="D134" s="1">
        <f>B134*Table1[[#This Row],[Дневная ставка]]</f>
        <v>5.0558615500225299</v>
      </c>
      <c r="E134">
        <v>0</v>
      </c>
      <c r="F134" s="1">
        <f t="shared" si="7"/>
        <v>14310.400557350204</v>
      </c>
    </row>
    <row r="135" spans="1:6" x14ac:dyDescent="0.3">
      <c r="A135" s="3">
        <v>46188</v>
      </c>
      <c r="B135" s="1">
        <f t="shared" si="8"/>
        <v>14310.400557350204</v>
      </c>
      <c r="C135">
        <f t="shared" si="6"/>
        <v>3.5342465753424658E-4</v>
      </c>
      <c r="D135" s="1">
        <f>B135*Table1[[#This Row],[Дневная ставка]]</f>
        <v>5.0576484161593873</v>
      </c>
      <c r="E135">
        <v>0</v>
      </c>
      <c r="F135" s="1">
        <f t="shared" si="7"/>
        <v>14315.458205766363</v>
      </c>
    </row>
    <row r="136" spans="1:6" x14ac:dyDescent="0.3">
      <c r="A136" s="3">
        <v>46189</v>
      </c>
      <c r="B136" s="1">
        <f t="shared" si="8"/>
        <v>14315.458205766363</v>
      </c>
      <c r="C136">
        <f t="shared" si="6"/>
        <v>3.5342465753424658E-4</v>
      </c>
      <c r="D136" s="1">
        <f>B136*Table1[[#This Row],[Дневная ставка]]</f>
        <v>5.0594359138187972</v>
      </c>
      <c r="E136">
        <v>0</v>
      </c>
      <c r="F136" s="1">
        <f t="shared" si="7"/>
        <v>14320.517641680182</v>
      </c>
    </row>
    <row r="137" spans="1:6" x14ac:dyDescent="0.3">
      <c r="A137" s="3">
        <v>46190</v>
      </c>
      <c r="B137" s="1">
        <f t="shared" si="8"/>
        <v>14320.517641680182</v>
      </c>
      <c r="C137">
        <f t="shared" si="6"/>
        <v>3.5342465753424658E-4</v>
      </c>
      <c r="D137" s="1">
        <f>B137*Table1[[#This Row],[Дневная ставка]]</f>
        <v>5.0612240432239552</v>
      </c>
      <c r="E137">
        <v>0</v>
      </c>
      <c r="F137" s="1">
        <f t="shared" si="7"/>
        <v>14325.578865723406</v>
      </c>
    </row>
    <row r="138" spans="1:6" x14ac:dyDescent="0.3">
      <c r="A138" s="3">
        <v>46191</v>
      </c>
      <c r="B138" s="1">
        <f t="shared" si="8"/>
        <v>14325.578865723406</v>
      </c>
      <c r="C138">
        <f t="shared" si="6"/>
        <v>3.5342465753424658E-4</v>
      </c>
      <c r="D138" s="1">
        <f>B138*Table1[[#This Row],[Дневная ставка]]</f>
        <v>5.0630128045981353</v>
      </c>
      <c r="E138">
        <v>0</v>
      </c>
      <c r="F138" s="1">
        <f t="shared" si="7"/>
        <v>14330.641878528004</v>
      </c>
    </row>
    <row r="139" spans="1:6" x14ac:dyDescent="0.3">
      <c r="A139" s="3">
        <v>46192</v>
      </c>
      <c r="B139" s="1">
        <f t="shared" si="8"/>
        <v>14330.641878528004</v>
      </c>
      <c r="C139">
        <f t="shared" si="6"/>
        <v>3.5342465753424658E-4</v>
      </c>
      <c r="D139" s="1">
        <f>B139*Table1[[#This Row],[Дневная ставка]]</f>
        <v>5.064802198164692</v>
      </c>
      <c r="E139">
        <v>650.05999999999995</v>
      </c>
      <c r="F139" s="1">
        <f t="shared" si="7"/>
        <v>13685.64668072617</v>
      </c>
    </row>
    <row r="140" spans="1:6" x14ac:dyDescent="0.3">
      <c r="A140" s="3">
        <v>46193</v>
      </c>
      <c r="B140" s="1">
        <f t="shared" si="8"/>
        <v>13685.64668072617</v>
      </c>
      <c r="C140">
        <f t="shared" si="6"/>
        <v>3.5342465753424658E-4</v>
      </c>
      <c r="D140" s="1">
        <f>B140*Table1[[#This Row],[Дневная ставка]]</f>
        <v>4.8368449912703451</v>
      </c>
      <c r="E140">
        <v>0</v>
      </c>
      <c r="F140" s="1">
        <f t="shared" si="7"/>
        <v>13690.48352571744</v>
      </c>
    </row>
    <row r="141" spans="1:6" x14ac:dyDescent="0.3">
      <c r="A141" s="3">
        <v>46194</v>
      </c>
      <c r="B141" s="1">
        <f t="shared" si="8"/>
        <v>13690.48352571744</v>
      </c>
      <c r="C141">
        <f t="shared" si="6"/>
        <v>3.5342465753424658E-4</v>
      </c>
      <c r="D141" s="1">
        <f>B141*Table1[[#This Row],[Дневная ставка]]</f>
        <v>4.8385544515549306</v>
      </c>
      <c r="E141">
        <v>0</v>
      </c>
      <c r="F141" s="1">
        <f t="shared" si="7"/>
        <v>13695.322080168995</v>
      </c>
    </row>
    <row r="142" spans="1:6" x14ac:dyDescent="0.3">
      <c r="A142" s="3">
        <v>46195</v>
      </c>
      <c r="B142" s="1">
        <f t="shared" si="8"/>
        <v>13695.322080168995</v>
      </c>
      <c r="C142">
        <f t="shared" si="6"/>
        <v>3.5342465753424658E-4</v>
      </c>
      <c r="D142" s="1">
        <f>B142*Table1[[#This Row],[Дневная ставка]]</f>
        <v>4.8402645160049325</v>
      </c>
      <c r="E142">
        <v>0</v>
      </c>
      <c r="F142" s="1">
        <f t="shared" si="7"/>
        <v>13700.162344684999</v>
      </c>
    </row>
    <row r="143" spans="1:6" x14ac:dyDescent="0.3">
      <c r="A143" s="3">
        <v>46196</v>
      </c>
      <c r="B143" s="1">
        <f t="shared" si="8"/>
        <v>13700.162344684999</v>
      </c>
      <c r="C143">
        <f t="shared" si="6"/>
        <v>3.5342465753424658E-4</v>
      </c>
      <c r="D143" s="1">
        <f>B143*Table1[[#This Row],[Дневная ставка]]</f>
        <v>4.8419751848338768</v>
      </c>
      <c r="E143">
        <v>0</v>
      </c>
      <c r="F143" s="1">
        <f t="shared" si="7"/>
        <v>13705.004319869833</v>
      </c>
    </row>
    <row r="144" spans="1:6" x14ac:dyDescent="0.3">
      <c r="A144" s="3">
        <v>46197</v>
      </c>
      <c r="B144" s="1">
        <f t="shared" si="8"/>
        <v>13705.004319869833</v>
      </c>
      <c r="C144">
        <f t="shared" si="6"/>
        <v>3.5342465753424658E-4</v>
      </c>
      <c r="D144" s="1">
        <f>B144*Table1[[#This Row],[Дневная ставка]]</f>
        <v>4.843686458255366</v>
      </c>
      <c r="E144">
        <v>0</v>
      </c>
      <c r="F144" s="1">
        <f t="shared" si="7"/>
        <v>13709.848006328088</v>
      </c>
    </row>
    <row r="145" spans="1:6" x14ac:dyDescent="0.3">
      <c r="A145" s="3">
        <v>46198</v>
      </c>
      <c r="B145" s="1">
        <f t="shared" si="8"/>
        <v>13709.848006328088</v>
      </c>
      <c r="C145">
        <f t="shared" si="6"/>
        <v>3.5342465753424658E-4</v>
      </c>
      <c r="D145" s="1">
        <f>B145*Table1[[#This Row],[Дневная ставка]]</f>
        <v>4.8453983364830773</v>
      </c>
      <c r="E145">
        <v>0</v>
      </c>
      <c r="F145" s="1">
        <f t="shared" si="7"/>
        <v>13714.693404664571</v>
      </c>
    </row>
    <row r="146" spans="1:6" x14ac:dyDescent="0.3">
      <c r="A146" s="3">
        <v>46199</v>
      </c>
      <c r="B146" s="1">
        <f t="shared" si="8"/>
        <v>13714.693404664571</v>
      </c>
      <c r="C146">
        <f t="shared" si="6"/>
        <v>3.5342465753424658E-4</v>
      </c>
      <c r="D146" s="1">
        <f>B146*Table1[[#This Row],[Дневная ставка]]</f>
        <v>4.8471108197307666</v>
      </c>
      <c r="E146">
        <v>0</v>
      </c>
      <c r="F146" s="1">
        <f t="shared" si="7"/>
        <v>13719.540515484301</v>
      </c>
    </row>
    <row r="147" spans="1:6" x14ac:dyDescent="0.3">
      <c r="A147" s="3">
        <v>46200</v>
      </c>
      <c r="B147" s="1">
        <f t="shared" si="8"/>
        <v>13719.540515484301</v>
      </c>
      <c r="C147">
        <f t="shared" si="6"/>
        <v>3.5342465753424658E-4</v>
      </c>
      <c r="D147" s="1">
        <f>B147*Table1[[#This Row],[Дневная ставка]]</f>
        <v>4.8488239082122595</v>
      </c>
      <c r="E147">
        <v>0</v>
      </c>
      <c r="F147" s="1">
        <f t="shared" si="7"/>
        <v>13724.389339392514</v>
      </c>
    </row>
    <row r="148" spans="1:6" x14ac:dyDescent="0.3">
      <c r="A148" s="3">
        <v>46201</v>
      </c>
      <c r="B148" s="1">
        <f t="shared" si="8"/>
        <v>13724.389339392514</v>
      </c>
      <c r="C148">
        <f t="shared" ref="C148:C211" si="9">(12.9%/365)</f>
        <v>3.5342465753424658E-4</v>
      </c>
      <c r="D148" s="1">
        <f>B148*Table1[[#This Row],[Дневная ставка]]</f>
        <v>4.8505376021414639</v>
      </c>
      <c r="E148">
        <v>0</v>
      </c>
      <c r="F148" s="1">
        <f t="shared" si="7"/>
        <v>13729.239876994656</v>
      </c>
    </row>
    <row r="149" spans="1:6" x14ac:dyDescent="0.3">
      <c r="A149" s="3">
        <v>46202</v>
      </c>
      <c r="B149" s="1">
        <f t="shared" si="8"/>
        <v>13729.239876994656</v>
      </c>
      <c r="C149">
        <f t="shared" si="9"/>
        <v>3.5342465753424658E-4</v>
      </c>
      <c r="D149" s="1">
        <f>B149*Table1[[#This Row],[Дневная ставка]]</f>
        <v>4.852251901732358</v>
      </c>
      <c r="E149">
        <v>0</v>
      </c>
      <c r="F149" s="1">
        <f t="shared" si="7"/>
        <v>13734.092128896387</v>
      </c>
    </row>
    <row r="150" spans="1:6" x14ac:dyDescent="0.3">
      <c r="A150" s="3">
        <v>46203</v>
      </c>
      <c r="B150" s="1">
        <f t="shared" si="8"/>
        <v>13734.092128896387</v>
      </c>
      <c r="C150">
        <f t="shared" si="9"/>
        <v>3.5342465753424658E-4</v>
      </c>
      <c r="D150" s="1">
        <f>B150*Table1[[#This Row],[Дневная ставка]]</f>
        <v>4.8539668071989972</v>
      </c>
      <c r="E150">
        <v>0</v>
      </c>
      <c r="F150" s="1">
        <f t="shared" si="7"/>
        <v>13738.946095703586</v>
      </c>
    </row>
    <row r="151" spans="1:6" x14ac:dyDescent="0.3">
      <c r="A151" s="3">
        <v>46204</v>
      </c>
      <c r="B151" s="1">
        <f t="shared" si="8"/>
        <v>13738.946095703586</v>
      </c>
      <c r="C151">
        <f t="shared" si="9"/>
        <v>3.5342465753424658E-4</v>
      </c>
      <c r="D151" s="1">
        <f>B151*Table1[[#This Row],[Дневная ставка]]</f>
        <v>4.8556823187555143</v>
      </c>
      <c r="E151">
        <v>0</v>
      </c>
      <c r="F151" s="1">
        <f t="shared" si="7"/>
        <v>13743.801778022342</v>
      </c>
    </row>
    <row r="152" spans="1:6" x14ac:dyDescent="0.3">
      <c r="A152" s="3">
        <v>46205</v>
      </c>
      <c r="B152" s="1">
        <f t="shared" si="8"/>
        <v>13743.801778022342</v>
      </c>
      <c r="C152">
        <f t="shared" si="9"/>
        <v>3.5342465753424658E-4</v>
      </c>
      <c r="D152" s="1">
        <f>B152*Table1[[#This Row],[Дневная ставка]]</f>
        <v>4.8573984366161156</v>
      </c>
      <c r="E152">
        <v>0</v>
      </c>
      <c r="F152" s="1">
        <f t="shared" si="7"/>
        <v>13748.659176458958</v>
      </c>
    </row>
    <row r="153" spans="1:6" x14ac:dyDescent="0.3">
      <c r="A153" s="3">
        <v>46206</v>
      </c>
      <c r="B153" s="1">
        <f t="shared" si="8"/>
        <v>13748.659176458958</v>
      </c>
      <c r="C153">
        <f t="shared" si="9"/>
        <v>3.5342465753424658E-4</v>
      </c>
      <c r="D153" s="1">
        <f>B153*Table1[[#This Row],[Дневная ставка]]</f>
        <v>4.859115160995084</v>
      </c>
      <c r="E153">
        <v>0</v>
      </c>
      <c r="F153" s="1">
        <f t="shared" si="7"/>
        <v>13753.518291619952</v>
      </c>
    </row>
    <row r="154" spans="1:6" x14ac:dyDescent="0.3">
      <c r="A154" s="3">
        <v>46207</v>
      </c>
      <c r="B154" s="1">
        <f t="shared" si="8"/>
        <v>13753.518291619952</v>
      </c>
      <c r="C154">
        <f t="shared" si="9"/>
        <v>3.5342465753424658E-4</v>
      </c>
      <c r="D154" s="1">
        <f>B154*Table1[[#This Row],[Дневная ставка]]</f>
        <v>4.8608324921067778</v>
      </c>
      <c r="E154">
        <v>0</v>
      </c>
      <c r="F154" s="1">
        <f t="shared" si="7"/>
        <v>13758.379124112058</v>
      </c>
    </row>
    <row r="155" spans="1:6" x14ac:dyDescent="0.3">
      <c r="A155" s="3">
        <v>46208</v>
      </c>
      <c r="B155" s="1">
        <f t="shared" si="8"/>
        <v>13758.379124112058</v>
      </c>
      <c r="C155">
        <f t="shared" si="9"/>
        <v>3.5342465753424658E-4</v>
      </c>
      <c r="D155" s="1">
        <f>B155*Table1[[#This Row],[Дневная ставка]]</f>
        <v>4.8625504301656317</v>
      </c>
      <c r="E155">
        <v>0</v>
      </c>
      <c r="F155" s="1">
        <f t="shared" si="7"/>
        <v>13763.241674542223</v>
      </c>
    </row>
    <row r="156" spans="1:6" x14ac:dyDescent="0.3">
      <c r="A156" s="3">
        <v>46209</v>
      </c>
      <c r="B156" s="1">
        <f t="shared" si="8"/>
        <v>13763.241674542223</v>
      </c>
      <c r="C156">
        <f t="shared" si="9"/>
        <v>3.5342465753424658E-4</v>
      </c>
      <c r="D156" s="1">
        <f>B156*Table1[[#This Row],[Дневная ставка]]</f>
        <v>4.8642689753861559</v>
      </c>
      <c r="E156">
        <v>0</v>
      </c>
      <c r="F156" s="1">
        <f t="shared" si="7"/>
        <v>13768.10594351761</v>
      </c>
    </row>
    <row r="157" spans="1:6" x14ac:dyDescent="0.3">
      <c r="A157" s="3">
        <v>46210</v>
      </c>
      <c r="B157" s="1">
        <f t="shared" si="8"/>
        <v>13768.10594351761</v>
      </c>
      <c r="C157">
        <f t="shared" si="9"/>
        <v>3.5342465753424658E-4</v>
      </c>
      <c r="D157" s="1">
        <f>B157*Table1[[#This Row],[Дневная ставка]]</f>
        <v>4.865988127982936</v>
      </c>
      <c r="E157">
        <v>0</v>
      </c>
      <c r="F157" s="1">
        <f t="shared" si="7"/>
        <v>13772.971931645594</v>
      </c>
    </row>
    <row r="158" spans="1:6" x14ac:dyDescent="0.3">
      <c r="A158" s="3">
        <v>46211</v>
      </c>
      <c r="B158" s="1">
        <f t="shared" si="8"/>
        <v>13772.971931645594</v>
      </c>
      <c r="C158">
        <f t="shared" si="9"/>
        <v>3.5342465753424658E-4</v>
      </c>
      <c r="D158" s="1">
        <f>B158*Table1[[#This Row],[Дневная ставка]]</f>
        <v>4.867707888170635</v>
      </c>
      <c r="E158">
        <v>0</v>
      </c>
      <c r="F158" s="1">
        <f t="shared" si="7"/>
        <v>13777.839639533764</v>
      </c>
    </row>
    <row r="159" spans="1:6" x14ac:dyDescent="0.3">
      <c r="A159" s="3">
        <v>46212</v>
      </c>
      <c r="B159" s="1">
        <f t="shared" si="8"/>
        <v>13777.839639533764</v>
      </c>
      <c r="C159">
        <f t="shared" si="9"/>
        <v>3.5342465753424658E-4</v>
      </c>
      <c r="D159" s="1">
        <f>B159*Table1[[#This Row],[Дневная ставка]]</f>
        <v>4.8694282561639879</v>
      </c>
      <c r="E159">
        <v>0</v>
      </c>
      <c r="F159" s="1">
        <f t="shared" si="7"/>
        <v>13782.709067789929</v>
      </c>
    </row>
    <row r="160" spans="1:6" x14ac:dyDescent="0.3">
      <c r="A160" s="3">
        <v>46213</v>
      </c>
      <c r="B160" s="1">
        <f t="shared" si="8"/>
        <v>13782.709067789929</v>
      </c>
      <c r="C160">
        <f t="shared" si="9"/>
        <v>3.5342465753424658E-4</v>
      </c>
      <c r="D160" s="1">
        <f>B160*Table1[[#This Row],[Дневная ставка]]</f>
        <v>4.8711492321778103</v>
      </c>
      <c r="E160">
        <v>0</v>
      </c>
      <c r="F160" s="1">
        <f t="shared" si="7"/>
        <v>13787.580217022107</v>
      </c>
    </row>
    <row r="161" spans="1:6" x14ac:dyDescent="0.3">
      <c r="A161" s="3">
        <v>46214</v>
      </c>
      <c r="B161" s="1">
        <f t="shared" si="8"/>
        <v>13787.580217022107</v>
      </c>
      <c r="C161">
        <f t="shared" si="9"/>
        <v>3.5342465753424658E-4</v>
      </c>
      <c r="D161" s="1">
        <f>B161*Table1[[#This Row],[Дневная ставка]]</f>
        <v>4.8728708164269916</v>
      </c>
      <c r="E161">
        <v>0</v>
      </c>
      <c r="F161" s="1">
        <f t="shared" si="7"/>
        <v>13792.453087838534</v>
      </c>
    </row>
    <row r="162" spans="1:6" x14ac:dyDescent="0.3">
      <c r="A162" s="3">
        <v>46215</v>
      </c>
      <c r="B162" s="1">
        <f t="shared" si="8"/>
        <v>13792.453087838534</v>
      </c>
      <c r="C162">
        <f t="shared" si="9"/>
        <v>3.5342465753424658E-4</v>
      </c>
      <c r="D162" s="1">
        <f>B162*Table1[[#This Row],[Дневная ставка]]</f>
        <v>4.874593009126496</v>
      </c>
      <c r="E162">
        <v>0</v>
      </c>
      <c r="F162" s="1">
        <f t="shared" si="7"/>
        <v>13797.32768084766</v>
      </c>
    </row>
    <row r="163" spans="1:6" x14ac:dyDescent="0.3">
      <c r="A163" s="3">
        <v>46216</v>
      </c>
      <c r="B163" s="1">
        <f t="shared" si="8"/>
        <v>13797.32768084766</v>
      </c>
      <c r="C163">
        <f t="shared" si="9"/>
        <v>3.5342465753424658E-4</v>
      </c>
      <c r="D163" s="1">
        <f>B163*Table1[[#This Row],[Дневная ставка]]</f>
        <v>4.8763158104913646</v>
      </c>
      <c r="E163">
        <v>0</v>
      </c>
      <c r="F163" s="1">
        <f t="shared" si="7"/>
        <v>13802.203996658152</v>
      </c>
    </row>
    <row r="164" spans="1:6" x14ac:dyDescent="0.3">
      <c r="A164" s="3">
        <v>46217</v>
      </c>
      <c r="B164" s="1">
        <f t="shared" si="8"/>
        <v>13802.203996658152</v>
      </c>
      <c r="C164">
        <f t="shared" si="9"/>
        <v>3.5342465753424658E-4</v>
      </c>
      <c r="D164" s="1">
        <f>B164*Table1[[#This Row],[Дневная ставка]]</f>
        <v>4.8780392207367171</v>
      </c>
      <c r="E164">
        <v>0</v>
      </c>
      <c r="F164" s="1">
        <f t="shared" si="7"/>
        <v>13807.08203587889</v>
      </c>
    </row>
    <row r="165" spans="1:6" x14ac:dyDescent="0.3">
      <c r="A165" s="3">
        <v>46218</v>
      </c>
      <c r="B165" s="1">
        <f t="shared" si="8"/>
        <v>13807.08203587889</v>
      </c>
      <c r="C165">
        <f t="shared" si="9"/>
        <v>3.5342465753424658E-4</v>
      </c>
      <c r="D165" s="1">
        <f>B165*Table1[[#This Row],[Дневная ставка]]</f>
        <v>4.8797632400777449</v>
      </c>
      <c r="E165">
        <v>0</v>
      </c>
      <c r="F165" s="1">
        <f t="shared" si="7"/>
        <v>13811.961799118968</v>
      </c>
    </row>
    <row r="166" spans="1:6" x14ac:dyDescent="0.3">
      <c r="A166" s="3">
        <v>46219</v>
      </c>
      <c r="B166" s="1">
        <f t="shared" si="8"/>
        <v>13811.961799118968</v>
      </c>
      <c r="C166">
        <f t="shared" si="9"/>
        <v>3.5342465753424658E-4</v>
      </c>
      <c r="D166" s="1">
        <f>B166*Table1[[#This Row],[Дневная ставка]]</f>
        <v>4.8814878687297174</v>
      </c>
      <c r="E166">
        <v>0</v>
      </c>
      <c r="F166" s="1">
        <f t="shared" si="7"/>
        <v>13816.843286987698</v>
      </c>
    </row>
    <row r="167" spans="1:6" x14ac:dyDescent="0.3">
      <c r="A167" s="3">
        <v>46220</v>
      </c>
      <c r="B167" s="1">
        <f t="shared" si="8"/>
        <v>13816.843286987698</v>
      </c>
      <c r="C167">
        <f t="shared" si="9"/>
        <v>3.5342465753424658E-4</v>
      </c>
      <c r="D167" s="1">
        <f>B167*Table1[[#This Row],[Дневная ставка]]</f>
        <v>4.8832131069079807</v>
      </c>
      <c r="E167">
        <v>0</v>
      </c>
      <c r="F167" s="1">
        <f t="shared" si="7"/>
        <v>13821.726500094606</v>
      </c>
    </row>
    <row r="168" spans="1:6" x14ac:dyDescent="0.3">
      <c r="A168" s="3">
        <v>46221</v>
      </c>
      <c r="B168" s="1">
        <f t="shared" si="8"/>
        <v>13821.726500094606</v>
      </c>
      <c r="C168">
        <f t="shared" si="9"/>
        <v>3.5342465753424658E-4</v>
      </c>
      <c r="D168" s="1">
        <f>B168*Table1[[#This Row],[Дневная ставка]]</f>
        <v>4.8849389548279571</v>
      </c>
      <c r="E168">
        <v>0</v>
      </c>
      <c r="F168" s="1">
        <f t="shared" si="7"/>
        <v>13826.611439049435</v>
      </c>
    </row>
    <row r="169" spans="1:6" x14ac:dyDescent="0.3">
      <c r="A169" s="3">
        <v>46222</v>
      </c>
      <c r="B169" s="1">
        <f t="shared" si="8"/>
        <v>13826.611439049435</v>
      </c>
      <c r="C169">
        <f t="shared" si="9"/>
        <v>3.5342465753424658E-4</v>
      </c>
      <c r="D169" s="1">
        <f>B169*Table1[[#This Row],[Дневная ставка]]</f>
        <v>4.8866654127051428</v>
      </c>
      <c r="E169">
        <v>650.05999999999995</v>
      </c>
      <c r="F169" s="1">
        <f t="shared" si="7"/>
        <v>13181.43810446214</v>
      </c>
    </row>
    <row r="170" spans="1:6" x14ac:dyDescent="0.3">
      <c r="A170" s="3">
        <v>46223</v>
      </c>
      <c r="B170" s="1">
        <f t="shared" si="8"/>
        <v>13181.43810446214</v>
      </c>
      <c r="C170">
        <f t="shared" si="9"/>
        <v>3.5342465753424658E-4</v>
      </c>
      <c r="D170" s="1">
        <f>B170*Table1[[#This Row],[Дневная ставка]]</f>
        <v>4.6586452478784004</v>
      </c>
      <c r="E170">
        <v>0</v>
      </c>
      <c r="F170" s="1">
        <f t="shared" si="7"/>
        <v>13186.096749710019</v>
      </c>
    </row>
    <row r="171" spans="1:6" x14ac:dyDescent="0.3">
      <c r="A171" s="3">
        <v>46224</v>
      </c>
      <c r="B171" s="1">
        <f t="shared" si="8"/>
        <v>13186.096749710019</v>
      </c>
      <c r="C171">
        <f t="shared" si="9"/>
        <v>3.5342465753424658E-4</v>
      </c>
      <c r="D171" s="1">
        <f>B171*Table1[[#This Row],[Дневная ставка]]</f>
        <v>4.6602917279797058</v>
      </c>
      <c r="E171">
        <v>0</v>
      </c>
      <c r="F171" s="1">
        <f t="shared" si="7"/>
        <v>13190.757041437999</v>
      </c>
    </row>
    <row r="172" spans="1:6" x14ac:dyDescent="0.3">
      <c r="A172" s="3">
        <v>46225</v>
      </c>
      <c r="B172" s="1">
        <f t="shared" si="8"/>
        <v>13190.757041437999</v>
      </c>
      <c r="C172">
        <f t="shared" si="9"/>
        <v>3.5342465753424658E-4</v>
      </c>
      <c r="D172" s="1">
        <f>B172*Table1[[#This Row],[Дневная ставка]]</f>
        <v>4.6619387899876763</v>
      </c>
      <c r="E172">
        <v>0</v>
      </c>
      <c r="F172" s="1">
        <f t="shared" si="7"/>
        <v>13195.418980227987</v>
      </c>
    </row>
    <row r="173" spans="1:6" x14ac:dyDescent="0.3">
      <c r="A173" s="3">
        <v>46226</v>
      </c>
      <c r="B173" s="1">
        <f t="shared" si="8"/>
        <v>13195.418980227987</v>
      </c>
      <c r="C173">
        <f t="shared" si="9"/>
        <v>3.5342465753424658E-4</v>
      </c>
      <c r="D173" s="1">
        <f>B173*Table1[[#This Row],[Дневная ставка]]</f>
        <v>4.663586434107974</v>
      </c>
      <c r="E173">
        <v>0</v>
      </c>
      <c r="F173" s="1">
        <f t="shared" si="7"/>
        <v>13200.082566662095</v>
      </c>
    </row>
    <row r="174" spans="1:6" x14ac:dyDescent="0.3">
      <c r="A174" s="3">
        <v>46227</v>
      </c>
      <c r="B174" s="1">
        <f t="shared" si="8"/>
        <v>13200.082566662095</v>
      </c>
      <c r="C174">
        <f t="shared" si="9"/>
        <v>3.5342465753424658E-4</v>
      </c>
      <c r="D174" s="1">
        <f>B174*Table1[[#This Row],[Дневная ставка]]</f>
        <v>4.6652346605463295</v>
      </c>
      <c r="E174">
        <v>0</v>
      </c>
      <c r="F174" s="1">
        <f t="shared" si="7"/>
        <v>13204.747801322641</v>
      </c>
    </row>
    <row r="175" spans="1:6" x14ac:dyDescent="0.3">
      <c r="A175" s="3">
        <v>46228</v>
      </c>
      <c r="B175" s="1">
        <f t="shared" si="8"/>
        <v>13204.747801322641</v>
      </c>
      <c r="C175">
        <f t="shared" si="9"/>
        <v>3.5342465753424658E-4</v>
      </c>
      <c r="D175" s="1">
        <f>B175*Table1[[#This Row],[Дневная ставка]]</f>
        <v>4.6668834695085497</v>
      </c>
      <c r="E175">
        <v>0</v>
      </c>
      <c r="F175" s="1">
        <f t="shared" si="7"/>
        <v>13209.414684792149</v>
      </c>
    </row>
    <row r="176" spans="1:6" x14ac:dyDescent="0.3">
      <c r="A176" s="3">
        <v>46229</v>
      </c>
      <c r="B176" s="1">
        <f t="shared" si="8"/>
        <v>13209.414684792149</v>
      </c>
      <c r="C176">
        <f t="shared" si="9"/>
        <v>3.5342465753424658E-4</v>
      </c>
      <c r="D176" s="1">
        <f>B176*Table1[[#This Row],[Дневная ставка]]</f>
        <v>4.6685328612005135</v>
      </c>
      <c r="E176">
        <v>0</v>
      </c>
      <c r="F176" s="1">
        <f t="shared" si="7"/>
        <v>13214.083217653349</v>
      </c>
    </row>
    <row r="177" spans="1:6" x14ac:dyDescent="0.3">
      <c r="A177" s="3">
        <v>46230</v>
      </c>
      <c r="B177" s="1">
        <f t="shared" si="8"/>
        <v>13214.083217653349</v>
      </c>
      <c r="C177">
        <f t="shared" si="9"/>
        <v>3.5342465753424658E-4</v>
      </c>
      <c r="D177" s="1">
        <f>B177*Table1[[#This Row],[Дневная ставка]]</f>
        <v>4.6701828358281698</v>
      </c>
      <c r="E177">
        <v>0</v>
      </c>
      <c r="F177" s="1">
        <f t="shared" si="7"/>
        <v>13218.753400489177</v>
      </c>
    </row>
    <row r="178" spans="1:6" x14ac:dyDescent="0.3">
      <c r="A178" s="3">
        <v>46231</v>
      </c>
      <c r="B178" s="1">
        <f t="shared" si="8"/>
        <v>13218.753400489177</v>
      </c>
      <c r="C178">
        <f t="shared" si="9"/>
        <v>3.5342465753424658E-4</v>
      </c>
      <c r="D178" s="1">
        <f>B178*Table1[[#This Row],[Дневная ставка]]</f>
        <v>4.6718333935975451</v>
      </c>
      <c r="E178">
        <v>0</v>
      </c>
      <c r="F178" s="1">
        <f t="shared" si="7"/>
        <v>13223.425233882774</v>
      </c>
    </row>
    <row r="179" spans="1:6" x14ac:dyDescent="0.3">
      <c r="A179" s="3">
        <v>46232</v>
      </c>
      <c r="B179" s="1">
        <f t="shared" si="8"/>
        <v>13223.425233882774</v>
      </c>
      <c r="C179">
        <f t="shared" si="9"/>
        <v>3.5342465753424658E-4</v>
      </c>
      <c r="D179" s="1">
        <f>B179*Table1[[#This Row],[Дневная ставка]]</f>
        <v>4.673484534714734</v>
      </c>
      <c r="E179">
        <v>0</v>
      </c>
      <c r="F179" s="1">
        <f t="shared" si="7"/>
        <v>13228.098718417488</v>
      </c>
    </row>
    <row r="180" spans="1:6" x14ac:dyDescent="0.3">
      <c r="A180" s="3">
        <v>46233</v>
      </c>
      <c r="B180" s="1">
        <f t="shared" si="8"/>
        <v>13228.098718417488</v>
      </c>
      <c r="C180">
        <f t="shared" si="9"/>
        <v>3.5342465753424658E-4</v>
      </c>
      <c r="D180" s="1">
        <f>B180*Table1[[#This Row],[Дневная ставка]]</f>
        <v>4.6751362593859067</v>
      </c>
      <c r="E180">
        <v>0</v>
      </c>
      <c r="F180" s="1">
        <f t="shared" si="7"/>
        <v>13232.773854676874</v>
      </c>
    </row>
    <row r="181" spans="1:6" x14ac:dyDescent="0.3">
      <c r="A181" s="3">
        <v>46234</v>
      </c>
      <c r="B181" s="1">
        <f t="shared" si="8"/>
        <v>13232.773854676874</v>
      </c>
      <c r="C181">
        <f t="shared" si="9"/>
        <v>3.5342465753424658E-4</v>
      </c>
      <c r="D181" s="1">
        <f>B181*Table1[[#This Row],[Дневная ставка]]</f>
        <v>4.6767885678173062</v>
      </c>
      <c r="E181">
        <v>0</v>
      </c>
      <c r="F181" s="1">
        <f t="shared" si="7"/>
        <v>13237.450643244691</v>
      </c>
    </row>
    <row r="182" spans="1:6" x14ac:dyDescent="0.3">
      <c r="A182" s="3">
        <v>46235</v>
      </c>
      <c r="B182" s="1">
        <f t="shared" si="8"/>
        <v>13237.450643244691</v>
      </c>
      <c r="C182">
        <f t="shared" si="9"/>
        <v>3.5342465753424658E-4</v>
      </c>
      <c r="D182" s="1">
        <f>B182*Table1[[#This Row],[Дневная ставка]]</f>
        <v>4.6784414602152467</v>
      </c>
      <c r="E182">
        <v>0</v>
      </c>
      <c r="F182" s="1">
        <f t="shared" si="7"/>
        <v>13242.129084704906</v>
      </c>
    </row>
    <row r="183" spans="1:6" x14ac:dyDescent="0.3">
      <c r="A183" s="3">
        <v>46236</v>
      </c>
      <c r="B183" s="1">
        <f t="shared" si="8"/>
        <v>13242.129084704906</v>
      </c>
      <c r="C183">
        <f t="shared" si="9"/>
        <v>3.5342465753424658E-4</v>
      </c>
      <c r="D183" s="1">
        <f>B183*Table1[[#This Row],[Дневная ставка]]</f>
        <v>4.6800949367861175</v>
      </c>
      <c r="E183">
        <v>0</v>
      </c>
      <c r="F183" s="1">
        <f t="shared" si="7"/>
        <v>13246.809179641692</v>
      </c>
    </row>
    <row r="184" spans="1:6" x14ac:dyDescent="0.3">
      <c r="A184" s="3">
        <v>46237</v>
      </c>
      <c r="B184" s="1">
        <f t="shared" si="8"/>
        <v>13246.809179641692</v>
      </c>
      <c r="C184">
        <f t="shared" si="9"/>
        <v>3.5342465753424658E-4</v>
      </c>
      <c r="D184" s="1">
        <f>B184*Table1[[#This Row],[Дневная ставка]]</f>
        <v>4.6817489977363786</v>
      </c>
      <c r="E184">
        <v>0</v>
      </c>
      <c r="F184" s="1">
        <f t="shared" si="7"/>
        <v>13251.490928639429</v>
      </c>
    </row>
    <row r="185" spans="1:6" x14ac:dyDescent="0.3">
      <c r="A185" s="3">
        <v>46238</v>
      </c>
      <c r="B185" s="1">
        <f t="shared" si="8"/>
        <v>13251.490928639429</v>
      </c>
      <c r="C185">
        <f t="shared" si="9"/>
        <v>3.5342465753424658E-4</v>
      </c>
      <c r="D185" s="1">
        <f>B185*Table1[[#This Row],[Дневная ставка]]</f>
        <v>4.6834036432725652</v>
      </c>
      <c r="E185">
        <v>0</v>
      </c>
      <c r="F185" s="1">
        <f t="shared" si="7"/>
        <v>13256.174332282701</v>
      </c>
    </row>
    <row r="186" spans="1:6" x14ac:dyDescent="0.3">
      <c r="A186" s="3">
        <v>46239</v>
      </c>
      <c r="B186" s="1">
        <f t="shared" si="8"/>
        <v>13256.174332282701</v>
      </c>
      <c r="C186">
        <f t="shared" si="9"/>
        <v>3.5342465753424658E-4</v>
      </c>
      <c r="D186" s="1">
        <f>B186*Table1[[#This Row],[Дневная ставка]]</f>
        <v>4.6850588736012835</v>
      </c>
      <c r="E186">
        <v>0</v>
      </c>
      <c r="F186" s="1">
        <f t="shared" si="7"/>
        <v>13260.859391156302</v>
      </c>
    </row>
    <row r="187" spans="1:6" x14ac:dyDescent="0.3">
      <c r="A187" s="3">
        <v>46240</v>
      </c>
      <c r="B187" s="1">
        <f t="shared" si="8"/>
        <v>13260.859391156302</v>
      </c>
      <c r="C187">
        <f t="shared" si="9"/>
        <v>3.5342465753424658E-4</v>
      </c>
      <c r="D187" s="1">
        <f>B187*Table1[[#This Row],[Дневная ставка]]</f>
        <v>4.6867146889292135</v>
      </c>
      <c r="E187">
        <v>0</v>
      </c>
      <c r="F187" s="1">
        <f t="shared" si="7"/>
        <v>13265.546105845231</v>
      </c>
    </row>
    <row r="188" spans="1:6" x14ac:dyDescent="0.3">
      <c r="A188" s="3">
        <v>46241</v>
      </c>
      <c r="B188" s="1">
        <f t="shared" si="8"/>
        <v>13265.546105845231</v>
      </c>
      <c r="C188">
        <f t="shared" si="9"/>
        <v>3.5342465753424658E-4</v>
      </c>
      <c r="D188" s="1">
        <f>B188*Table1[[#This Row],[Дневная ставка]]</f>
        <v>4.688371089463109</v>
      </c>
      <c r="E188">
        <v>0</v>
      </c>
      <c r="F188" s="1">
        <f t="shared" si="7"/>
        <v>13270.234476934695</v>
      </c>
    </row>
    <row r="189" spans="1:6" x14ac:dyDescent="0.3">
      <c r="A189" s="3">
        <v>46242</v>
      </c>
      <c r="B189" s="1">
        <f t="shared" si="8"/>
        <v>13270.234476934695</v>
      </c>
      <c r="C189">
        <f t="shared" si="9"/>
        <v>3.5342465753424658E-4</v>
      </c>
      <c r="D189" s="1">
        <f>B189*Table1[[#This Row],[Дневная ставка]]</f>
        <v>4.6900280754097965</v>
      </c>
      <c r="E189">
        <v>0</v>
      </c>
      <c r="F189" s="1">
        <f t="shared" si="7"/>
        <v>13274.924505010104</v>
      </c>
    </row>
    <row r="190" spans="1:6" x14ac:dyDescent="0.3">
      <c r="A190" s="3">
        <v>46243</v>
      </c>
      <c r="B190" s="1">
        <f t="shared" si="8"/>
        <v>13274.924505010104</v>
      </c>
      <c r="C190">
        <f t="shared" si="9"/>
        <v>3.5342465753424658E-4</v>
      </c>
      <c r="D190" s="1">
        <f>B190*Table1[[#This Row],[Дневная ставка]]</f>
        <v>4.6916856469761736</v>
      </c>
      <c r="E190">
        <v>0</v>
      </c>
      <c r="F190" s="1">
        <f t="shared" si="7"/>
        <v>13279.61619065708</v>
      </c>
    </row>
    <row r="191" spans="1:6" x14ac:dyDescent="0.3">
      <c r="A191" s="3">
        <v>46244</v>
      </c>
      <c r="B191" s="1">
        <f t="shared" si="8"/>
        <v>13279.61619065708</v>
      </c>
      <c r="C191">
        <f t="shared" si="9"/>
        <v>3.5342465753424658E-4</v>
      </c>
      <c r="D191" s="1">
        <f>B191*Table1[[#This Row],[Дневная ставка]]</f>
        <v>4.6933438043692144</v>
      </c>
      <c r="E191">
        <v>0</v>
      </c>
      <c r="F191" s="1">
        <f t="shared" si="7"/>
        <v>13284.309534461448</v>
      </c>
    </row>
    <row r="192" spans="1:6" x14ac:dyDescent="0.3">
      <c r="A192" s="3">
        <v>46245</v>
      </c>
      <c r="B192" s="1">
        <f t="shared" si="8"/>
        <v>13284.309534461448</v>
      </c>
      <c r="C192">
        <f t="shared" si="9"/>
        <v>3.5342465753424658E-4</v>
      </c>
      <c r="D192" s="1">
        <f>B192*Table1[[#This Row],[Дневная ставка]]</f>
        <v>4.6950025477959638</v>
      </c>
      <c r="E192">
        <v>0</v>
      </c>
      <c r="F192" s="1">
        <f t="shared" si="7"/>
        <v>13289.004537009245</v>
      </c>
    </row>
    <row r="193" spans="1:6" x14ac:dyDescent="0.3">
      <c r="A193" s="3">
        <v>46246</v>
      </c>
      <c r="B193" s="1">
        <f t="shared" si="8"/>
        <v>13289.004537009245</v>
      </c>
      <c r="C193">
        <f t="shared" si="9"/>
        <v>3.5342465753424658E-4</v>
      </c>
      <c r="D193" s="1">
        <f>B193*Table1[[#This Row],[Дневная ставка]]</f>
        <v>4.6966618774635416</v>
      </c>
      <c r="E193">
        <v>0</v>
      </c>
      <c r="F193" s="1">
        <f t="shared" si="7"/>
        <v>13293.701198886709</v>
      </c>
    </row>
    <row r="194" spans="1:6" x14ac:dyDescent="0.3">
      <c r="A194" s="3">
        <v>46247</v>
      </c>
      <c r="B194" s="1">
        <f t="shared" si="8"/>
        <v>13293.701198886709</v>
      </c>
      <c r="C194">
        <f t="shared" si="9"/>
        <v>3.5342465753424658E-4</v>
      </c>
      <c r="D194" s="1">
        <f>B194*Table1[[#This Row],[Дневная ставка]]</f>
        <v>4.6983217935791384</v>
      </c>
      <c r="E194">
        <v>0</v>
      </c>
      <c r="F194" s="1">
        <f t="shared" si="7"/>
        <v>13298.399520680288</v>
      </c>
    </row>
    <row r="195" spans="1:6" x14ac:dyDescent="0.3">
      <c r="A195" s="3">
        <v>46248</v>
      </c>
      <c r="B195" s="1">
        <f t="shared" si="8"/>
        <v>13298.399520680288</v>
      </c>
      <c r="C195">
        <f t="shared" si="9"/>
        <v>3.5342465753424658E-4</v>
      </c>
      <c r="D195" s="1">
        <f>B195*Table1[[#This Row],[Дневная ставка]]</f>
        <v>4.6999822963500195</v>
      </c>
      <c r="E195">
        <v>0</v>
      </c>
      <c r="F195" s="1">
        <f t="shared" ref="F195:F258" si="10">B195+D195-E195</f>
        <v>13303.099502976638</v>
      </c>
    </row>
    <row r="196" spans="1:6" x14ac:dyDescent="0.3">
      <c r="A196" s="3">
        <v>46249</v>
      </c>
      <c r="B196" s="1">
        <f t="shared" ref="B196:B259" si="11">F195</f>
        <v>13303.099502976638</v>
      </c>
      <c r="C196">
        <f t="shared" si="9"/>
        <v>3.5342465753424658E-4</v>
      </c>
      <c r="D196" s="1">
        <f>B196*Table1[[#This Row],[Дневная ставка]]</f>
        <v>4.701643385983524</v>
      </c>
      <c r="E196">
        <v>0</v>
      </c>
      <c r="F196" s="1">
        <f t="shared" si="10"/>
        <v>13307.801146362623</v>
      </c>
    </row>
    <row r="197" spans="1:6" x14ac:dyDescent="0.3">
      <c r="A197" s="3">
        <v>46250</v>
      </c>
      <c r="B197" s="1">
        <f t="shared" si="11"/>
        <v>13307.801146362623</v>
      </c>
      <c r="C197">
        <f t="shared" si="9"/>
        <v>3.5342465753424658E-4</v>
      </c>
      <c r="D197" s="1">
        <f>B197*Table1[[#This Row],[Дневная ставка]]</f>
        <v>4.7033050626870638</v>
      </c>
      <c r="E197">
        <v>0</v>
      </c>
      <c r="F197" s="1">
        <f t="shared" si="10"/>
        <v>13312.50445142531</v>
      </c>
    </row>
    <row r="198" spans="1:6" x14ac:dyDescent="0.3">
      <c r="A198" s="3">
        <v>46251</v>
      </c>
      <c r="B198" s="1">
        <f t="shared" si="11"/>
        <v>13312.50445142531</v>
      </c>
      <c r="C198">
        <f t="shared" si="9"/>
        <v>3.5342465753424658E-4</v>
      </c>
      <c r="D198" s="1">
        <f>B198*Table1[[#This Row],[Дневная ставка]]</f>
        <v>4.7049673266681236</v>
      </c>
      <c r="E198">
        <v>0</v>
      </c>
      <c r="F198" s="1">
        <f t="shared" si="10"/>
        <v>13317.209418751978</v>
      </c>
    </row>
    <row r="199" spans="1:6" x14ac:dyDescent="0.3">
      <c r="A199" s="3">
        <v>46252</v>
      </c>
      <c r="B199" s="1">
        <f t="shared" si="11"/>
        <v>13317.209418751978</v>
      </c>
      <c r="C199">
        <f t="shared" si="9"/>
        <v>3.5342465753424658E-4</v>
      </c>
      <c r="D199" s="1">
        <f>B199*Table1[[#This Row],[Дневная ставка]]</f>
        <v>4.7066301781342608</v>
      </c>
      <c r="E199">
        <v>0</v>
      </c>
      <c r="F199" s="1">
        <f t="shared" si="10"/>
        <v>13321.916048930112</v>
      </c>
    </row>
    <row r="200" spans="1:6" x14ac:dyDescent="0.3">
      <c r="A200" s="3">
        <v>46253</v>
      </c>
      <c r="B200" s="1">
        <f t="shared" si="11"/>
        <v>13321.916048930112</v>
      </c>
      <c r="C200">
        <f t="shared" si="9"/>
        <v>3.5342465753424658E-4</v>
      </c>
      <c r="D200" s="1">
        <f>B200*Table1[[#This Row],[Дневная ставка]]</f>
        <v>4.7082936172931085</v>
      </c>
      <c r="E200">
        <v>650.05999999999995</v>
      </c>
      <c r="F200" s="1">
        <f t="shared" si="10"/>
        <v>12676.564342547406</v>
      </c>
    </row>
    <row r="201" spans="1:6" x14ac:dyDescent="0.3">
      <c r="A201" s="3">
        <v>46254</v>
      </c>
      <c r="B201" s="1">
        <f t="shared" si="11"/>
        <v>12676.564342547406</v>
      </c>
      <c r="C201">
        <f t="shared" si="9"/>
        <v>3.5342465753424658E-4</v>
      </c>
      <c r="D201" s="1">
        <f>B201*Table1[[#This Row],[Дневная ставка]]</f>
        <v>4.4802104114756585</v>
      </c>
      <c r="E201">
        <v>0</v>
      </c>
      <c r="F201" s="1">
        <f t="shared" si="10"/>
        <v>12681.044552958881</v>
      </c>
    </row>
    <row r="202" spans="1:6" x14ac:dyDescent="0.3">
      <c r="A202" s="3">
        <v>46255</v>
      </c>
      <c r="B202" s="1">
        <f t="shared" si="11"/>
        <v>12681.044552958881</v>
      </c>
      <c r="C202">
        <f t="shared" si="9"/>
        <v>3.5342465753424658E-4</v>
      </c>
      <c r="D202" s="1">
        <f>B202*Table1[[#This Row],[Дневная ставка]]</f>
        <v>4.4817938283060155</v>
      </c>
      <c r="E202">
        <v>0</v>
      </c>
      <c r="F202" s="1">
        <f t="shared" si="10"/>
        <v>12685.526346787188</v>
      </c>
    </row>
    <row r="203" spans="1:6" x14ac:dyDescent="0.3">
      <c r="A203" s="3">
        <v>46256</v>
      </c>
      <c r="B203" s="1">
        <f t="shared" si="11"/>
        <v>12685.526346787188</v>
      </c>
      <c r="C203">
        <f t="shared" si="9"/>
        <v>3.5342465753424658E-4</v>
      </c>
      <c r="D203" s="1">
        <f>B203*Table1[[#This Row],[Дневная ставка]]</f>
        <v>4.483377804754924</v>
      </c>
      <c r="E203">
        <v>0</v>
      </c>
      <c r="F203" s="1">
        <f t="shared" si="10"/>
        <v>12690.009724591942</v>
      </c>
    </row>
    <row r="204" spans="1:6" x14ac:dyDescent="0.3">
      <c r="A204" s="3">
        <v>46257</v>
      </c>
      <c r="B204" s="1">
        <f t="shared" si="11"/>
        <v>12690.009724591942</v>
      </c>
      <c r="C204">
        <f t="shared" si="9"/>
        <v>3.5342465753424658E-4</v>
      </c>
      <c r="D204" s="1">
        <f>B204*Table1[[#This Row],[Дневная ставка]]</f>
        <v>4.4849623410201662</v>
      </c>
      <c r="E204">
        <v>0</v>
      </c>
      <c r="F204" s="1">
        <f t="shared" si="10"/>
        <v>12694.494686932963</v>
      </c>
    </row>
    <row r="205" spans="1:6" x14ac:dyDescent="0.3">
      <c r="A205" s="3">
        <v>46258</v>
      </c>
      <c r="B205" s="1">
        <f t="shared" si="11"/>
        <v>12694.494686932963</v>
      </c>
      <c r="C205">
        <f t="shared" si="9"/>
        <v>3.5342465753424658E-4</v>
      </c>
      <c r="D205" s="1">
        <f>B205*Table1[[#This Row],[Дневная ставка]]</f>
        <v>4.4865474372995955</v>
      </c>
      <c r="E205">
        <v>0</v>
      </c>
      <c r="F205" s="1">
        <f t="shared" si="10"/>
        <v>12698.981234370263</v>
      </c>
    </row>
    <row r="206" spans="1:6" x14ac:dyDescent="0.3">
      <c r="A206" s="3">
        <v>46259</v>
      </c>
      <c r="B206" s="1">
        <f t="shared" si="11"/>
        <v>12698.981234370263</v>
      </c>
      <c r="C206">
        <f t="shared" si="9"/>
        <v>3.5342465753424658E-4</v>
      </c>
      <c r="D206" s="1">
        <f>B206*Table1[[#This Row],[Дневная ставка]]</f>
        <v>4.4881330937911343</v>
      </c>
      <c r="E206">
        <v>0</v>
      </c>
      <c r="F206" s="1">
        <f t="shared" si="10"/>
        <v>12703.469367464055</v>
      </c>
    </row>
    <row r="207" spans="1:6" x14ac:dyDescent="0.3">
      <c r="A207" s="3">
        <v>46260</v>
      </c>
      <c r="B207" s="1">
        <f t="shared" si="11"/>
        <v>12703.469367464055</v>
      </c>
      <c r="C207">
        <f t="shared" si="9"/>
        <v>3.5342465753424658E-4</v>
      </c>
      <c r="D207" s="1">
        <f>B207*Table1[[#This Row],[Дневная ставка]]</f>
        <v>4.4897193106927755</v>
      </c>
      <c r="E207">
        <v>0</v>
      </c>
      <c r="F207" s="1">
        <f t="shared" si="10"/>
        <v>12707.959086774748</v>
      </c>
    </row>
    <row r="208" spans="1:6" x14ac:dyDescent="0.3">
      <c r="A208" s="3">
        <v>46261</v>
      </c>
      <c r="B208" s="1">
        <f t="shared" si="11"/>
        <v>12707.959086774748</v>
      </c>
      <c r="C208">
        <f t="shared" si="9"/>
        <v>3.5342465753424658E-4</v>
      </c>
      <c r="D208" s="1">
        <f>B208*Table1[[#This Row],[Дневная ставка]]</f>
        <v>4.4913060882025828</v>
      </c>
      <c r="E208">
        <v>0</v>
      </c>
      <c r="F208" s="1">
        <f t="shared" si="10"/>
        <v>12712.450392862951</v>
      </c>
    </row>
    <row r="209" spans="1:6" x14ac:dyDescent="0.3">
      <c r="A209" s="3">
        <v>46262</v>
      </c>
      <c r="B209" s="1">
        <f t="shared" si="11"/>
        <v>12712.450392862951</v>
      </c>
      <c r="C209">
        <f t="shared" si="9"/>
        <v>3.5342465753424658E-4</v>
      </c>
      <c r="D209" s="1">
        <f>B209*Table1[[#This Row],[Дневная ставка]]</f>
        <v>4.4928934265186866</v>
      </c>
      <c r="E209">
        <v>0</v>
      </c>
      <c r="F209" s="1">
        <f t="shared" si="10"/>
        <v>12716.94328628947</v>
      </c>
    </row>
    <row r="210" spans="1:6" x14ac:dyDescent="0.3">
      <c r="A210" s="3">
        <v>46263</v>
      </c>
      <c r="B210" s="1">
        <f t="shared" si="11"/>
        <v>12716.94328628947</v>
      </c>
      <c r="C210">
        <f t="shared" si="9"/>
        <v>3.5342465753424658E-4</v>
      </c>
      <c r="D210" s="1">
        <f>B210*Table1[[#This Row],[Дневная ставка]]</f>
        <v>4.4944813258392919</v>
      </c>
      <c r="E210">
        <v>0</v>
      </c>
      <c r="F210" s="1">
        <f t="shared" si="10"/>
        <v>12721.437767615309</v>
      </c>
    </row>
    <row r="211" spans="1:6" x14ac:dyDescent="0.3">
      <c r="A211" s="3">
        <v>46264</v>
      </c>
      <c r="B211" s="1">
        <f t="shared" si="11"/>
        <v>12721.437767615309</v>
      </c>
      <c r="C211">
        <f t="shared" si="9"/>
        <v>3.5342465753424658E-4</v>
      </c>
      <c r="D211" s="1">
        <f>B211*Table1[[#This Row],[Дневная ставка]]</f>
        <v>4.4960697863626713</v>
      </c>
      <c r="E211">
        <v>0</v>
      </c>
      <c r="F211" s="1">
        <f t="shared" si="10"/>
        <v>12725.933837401672</v>
      </c>
    </row>
    <row r="212" spans="1:6" x14ac:dyDescent="0.3">
      <c r="A212" s="3">
        <v>46265</v>
      </c>
      <c r="B212" s="1">
        <f t="shared" si="11"/>
        <v>12725.933837401672</v>
      </c>
      <c r="C212">
        <f t="shared" ref="C212:C275" si="12">(12.9%/365)</f>
        <v>3.5342465753424658E-4</v>
      </c>
      <c r="D212" s="1">
        <f>B212*Table1[[#This Row],[Дневная ставка]]</f>
        <v>4.4976588082871665</v>
      </c>
      <c r="E212">
        <v>0</v>
      </c>
      <c r="F212" s="1">
        <f t="shared" si="10"/>
        <v>12730.431496209958</v>
      </c>
    </row>
    <row r="213" spans="1:6" x14ac:dyDescent="0.3">
      <c r="A213" s="3">
        <v>46266</v>
      </c>
      <c r="B213" s="1">
        <f t="shared" si="11"/>
        <v>12730.431496209958</v>
      </c>
      <c r="C213">
        <f t="shared" si="12"/>
        <v>3.5342465753424658E-4</v>
      </c>
      <c r="D213" s="1">
        <f>B213*Table1[[#This Row],[Дневная ставка]]</f>
        <v>4.4992483918111903</v>
      </c>
      <c r="E213">
        <v>0</v>
      </c>
      <c r="F213" s="1">
        <f t="shared" si="10"/>
        <v>12734.930744601768</v>
      </c>
    </row>
    <row r="214" spans="1:6" x14ac:dyDescent="0.3">
      <c r="A214" s="3">
        <v>46267</v>
      </c>
      <c r="B214" s="1">
        <f t="shared" si="11"/>
        <v>12734.930744601768</v>
      </c>
      <c r="C214">
        <f t="shared" si="12"/>
        <v>3.5342465753424658E-4</v>
      </c>
      <c r="D214" s="1">
        <f>B214*Table1[[#This Row],[Дневная ставка]]</f>
        <v>4.5008385371332276</v>
      </c>
      <c r="E214">
        <v>0</v>
      </c>
      <c r="F214" s="1">
        <f t="shared" si="10"/>
        <v>12739.431583138901</v>
      </c>
    </row>
    <row r="215" spans="1:6" x14ac:dyDescent="0.3">
      <c r="A215" s="3">
        <v>46268</v>
      </c>
      <c r="B215" s="1">
        <f t="shared" si="11"/>
        <v>12739.431583138901</v>
      </c>
      <c r="C215">
        <f t="shared" si="12"/>
        <v>3.5342465753424658E-4</v>
      </c>
      <c r="D215" s="1">
        <f>B215*Table1[[#This Row],[Дневная ставка]]</f>
        <v>4.5024292444518306</v>
      </c>
      <c r="E215">
        <v>0</v>
      </c>
      <c r="F215" s="1">
        <f t="shared" si="10"/>
        <v>12743.934012383354</v>
      </c>
    </row>
    <row r="216" spans="1:6" x14ac:dyDescent="0.3">
      <c r="A216" s="3">
        <v>46269</v>
      </c>
      <c r="B216" s="1">
        <f t="shared" si="11"/>
        <v>12743.934012383354</v>
      </c>
      <c r="C216">
        <f t="shared" si="12"/>
        <v>3.5342465753424658E-4</v>
      </c>
      <c r="D216" s="1">
        <f>B216*Table1[[#This Row],[Дневная ставка]]</f>
        <v>4.5040205139656235</v>
      </c>
      <c r="E216">
        <v>0</v>
      </c>
      <c r="F216" s="1">
        <f t="shared" si="10"/>
        <v>12748.438032897318</v>
      </c>
    </row>
    <row r="217" spans="1:6" x14ac:dyDescent="0.3">
      <c r="A217" s="3">
        <v>46270</v>
      </c>
      <c r="B217" s="1">
        <f t="shared" si="11"/>
        <v>12748.438032897318</v>
      </c>
      <c r="C217">
        <f t="shared" si="12"/>
        <v>3.5342465753424658E-4</v>
      </c>
      <c r="D217" s="1">
        <f>B217*Table1[[#This Row],[Дневная ставка]]</f>
        <v>4.5056123458732991</v>
      </c>
      <c r="E217">
        <v>0</v>
      </c>
      <c r="F217" s="1">
        <f t="shared" si="10"/>
        <v>12752.943645243191</v>
      </c>
    </row>
    <row r="218" spans="1:6" x14ac:dyDescent="0.3">
      <c r="A218" s="3">
        <v>46271</v>
      </c>
      <c r="B218" s="1">
        <f t="shared" si="11"/>
        <v>12752.943645243191</v>
      </c>
      <c r="C218">
        <f t="shared" si="12"/>
        <v>3.5342465753424658E-4</v>
      </c>
      <c r="D218" s="1">
        <f>B218*Table1[[#This Row],[Дневная ставка]]</f>
        <v>4.5072047403736208</v>
      </c>
      <c r="E218">
        <v>0</v>
      </c>
      <c r="F218" s="1">
        <f t="shared" si="10"/>
        <v>12757.450849983565</v>
      </c>
    </row>
    <row r="219" spans="1:6" x14ac:dyDescent="0.3">
      <c r="A219" s="3">
        <v>46272</v>
      </c>
      <c r="B219" s="1">
        <f t="shared" si="11"/>
        <v>12757.450849983565</v>
      </c>
      <c r="C219">
        <f t="shared" si="12"/>
        <v>3.5342465753424658E-4</v>
      </c>
      <c r="D219" s="1">
        <f>B219*Table1[[#This Row],[Дневная ставка]]</f>
        <v>4.5087976976654245</v>
      </c>
      <c r="E219">
        <v>0</v>
      </c>
      <c r="F219" s="1">
        <f t="shared" si="10"/>
        <v>12761.959647681229</v>
      </c>
    </row>
    <row r="220" spans="1:6" x14ac:dyDescent="0.3">
      <c r="A220" s="3">
        <v>46273</v>
      </c>
      <c r="B220" s="1">
        <f t="shared" si="11"/>
        <v>12761.959647681229</v>
      </c>
      <c r="C220">
        <f t="shared" si="12"/>
        <v>3.5342465753424658E-4</v>
      </c>
      <c r="D220" s="1">
        <f>B220*Table1[[#This Row],[Дневная ставка]]</f>
        <v>4.5103912179476131</v>
      </c>
      <c r="E220">
        <v>0</v>
      </c>
      <c r="F220" s="1">
        <f t="shared" si="10"/>
        <v>12766.470038899177</v>
      </c>
    </row>
    <row r="221" spans="1:6" x14ac:dyDescent="0.3">
      <c r="A221" s="3">
        <v>46274</v>
      </c>
      <c r="B221" s="1">
        <f t="shared" si="11"/>
        <v>12766.470038899177</v>
      </c>
      <c r="C221">
        <f t="shared" si="12"/>
        <v>3.5342465753424658E-4</v>
      </c>
      <c r="D221" s="1">
        <f>B221*Table1[[#This Row],[Дневная ставка]]</f>
        <v>4.5119853014191609</v>
      </c>
      <c r="E221">
        <v>0</v>
      </c>
      <c r="F221" s="1">
        <f t="shared" si="10"/>
        <v>12770.982024200595</v>
      </c>
    </row>
    <row r="222" spans="1:6" x14ac:dyDescent="0.3">
      <c r="A222" s="3">
        <v>46275</v>
      </c>
      <c r="B222" s="1">
        <f t="shared" si="11"/>
        <v>12770.982024200595</v>
      </c>
      <c r="C222">
        <f t="shared" si="12"/>
        <v>3.5342465753424658E-4</v>
      </c>
      <c r="D222" s="1">
        <f>B222*Table1[[#This Row],[Дневная ставка]]</f>
        <v>4.5135799482791148</v>
      </c>
      <c r="E222">
        <v>0</v>
      </c>
      <c r="F222" s="1">
        <f t="shared" si="10"/>
        <v>12775.495604148875</v>
      </c>
    </row>
    <row r="223" spans="1:6" x14ac:dyDescent="0.3">
      <c r="A223" s="3">
        <v>46276</v>
      </c>
      <c r="B223" s="1">
        <f t="shared" si="11"/>
        <v>12775.495604148875</v>
      </c>
      <c r="C223">
        <f t="shared" si="12"/>
        <v>3.5342465753424658E-4</v>
      </c>
      <c r="D223" s="1">
        <f>B223*Table1[[#This Row],[Дневная ставка]]</f>
        <v>4.5151751587265885</v>
      </c>
      <c r="E223">
        <v>0</v>
      </c>
      <c r="F223" s="1">
        <f t="shared" si="10"/>
        <v>12780.010779307602</v>
      </c>
    </row>
    <row r="224" spans="1:6" x14ac:dyDescent="0.3">
      <c r="A224" s="3">
        <v>46277</v>
      </c>
      <c r="B224" s="1">
        <f t="shared" si="11"/>
        <v>12780.010779307602</v>
      </c>
      <c r="C224">
        <f t="shared" si="12"/>
        <v>3.5342465753424658E-4</v>
      </c>
      <c r="D224" s="1">
        <f>B224*Table1[[#This Row],[Дневная ставка]]</f>
        <v>4.5167709329607693</v>
      </c>
      <c r="E224">
        <v>0</v>
      </c>
      <c r="F224" s="1">
        <f t="shared" si="10"/>
        <v>12784.527550240564</v>
      </c>
    </row>
    <row r="225" spans="1:6" x14ac:dyDescent="0.3">
      <c r="A225" s="3">
        <v>46278</v>
      </c>
      <c r="B225" s="1">
        <f t="shared" si="11"/>
        <v>12784.527550240564</v>
      </c>
      <c r="C225">
        <f t="shared" si="12"/>
        <v>3.5342465753424658E-4</v>
      </c>
      <c r="D225" s="1">
        <f>B225*Table1[[#This Row],[Дневная ставка]]</f>
        <v>4.518367271180912</v>
      </c>
      <c r="E225">
        <v>0</v>
      </c>
      <c r="F225" s="1">
        <f t="shared" si="10"/>
        <v>12789.045917511745</v>
      </c>
    </row>
    <row r="226" spans="1:6" x14ac:dyDescent="0.3">
      <c r="A226" s="3">
        <v>46279</v>
      </c>
      <c r="B226" s="1">
        <f t="shared" si="11"/>
        <v>12789.045917511745</v>
      </c>
      <c r="C226">
        <f t="shared" si="12"/>
        <v>3.5342465753424658E-4</v>
      </c>
      <c r="D226" s="1">
        <f>B226*Table1[[#This Row],[Дневная ставка]]</f>
        <v>4.5199641735863425</v>
      </c>
      <c r="E226">
        <v>0</v>
      </c>
      <c r="F226" s="1">
        <f t="shared" si="10"/>
        <v>12793.565881685332</v>
      </c>
    </row>
    <row r="227" spans="1:6" x14ac:dyDescent="0.3">
      <c r="A227" s="3">
        <v>46280</v>
      </c>
      <c r="B227" s="1">
        <f t="shared" si="11"/>
        <v>12793.565881685332</v>
      </c>
      <c r="C227">
        <f t="shared" si="12"/>
        <v>3.5342465753424658E-4</v>
      </c>
      <c r="D227" s="1">
        <f>B227*Table1[[#This Row],[Дневная ставка]]</f>
        <v>4.5215616403764596</v>
      </c>
      <c r="E227">
        <v>0</v>
      </c>
      <c r="F227" s="1">
        <f t="shared" si="10"/>
        <v>12798.087443325709</v>
      </c>
    </row>
    <row r="228" spans="1:6" x14ac:dyDescent="0.3">
      <c r="A228" s="3">
        <v>46281</v>
      </c>
      <c r="B228" s="1">
        <f t="shared" si="11"/>
        <v>12798.087443325709</v>
      </c>
      <c r="C228">
        <f t="shared" si="12"/>
        <v>3.5342465753424658E-4</v>
      </c>
      <c r="D228" s="1">
        <f>B228*Table1[[#This Row],[Дневная ставка]]</f>
        <v>4.5231596717507303</v>
      </c>
      <c r="E228">
        <v>0</v>
      </c>
      <c r="F228" s="1">
        <f t="shared" si="10"/>
        <v>12802.61060299746</v>
      </c>
    </row>
    <row r="229" spans="1:6" x14ac:dyDescent="0.3">
      <c r="A229" s="3">
        <v>46282</v>
      </c>
      <c r="B229" s="1">
        <f t="shared" si="11"/>
        <v>12802.61060299746</v>
      </c>
      <c r="C229">
        <f t="shared" si="12"/>
        <v>3.5342465753424658E-4</v>
      </c>
      <c r="D229" s="1">
        <f>B229*Table1[[#This Row],[Дневная ставка]]</f>
        <v>4.5247582679086911</v>
      </c>
      <c r="E229">
        <v>0</v>
      </c>
      <c r="F229" s="1">
        <f t="shared" si="10"/>
        <v>12807.135361265369</v>
      </c>
    </row>
    <row r="230" spans="1:6" x14ac:dyDescent="0.3">
      <c r="A230" s="3">
        <v>46283</v>
      </c>
      <c r="B230" s="1">
        <f t="shared" si="11"/>
        <v>12807.135361265369</v>
      </c>
      <c r="C230">
        <f t="shared" si="12"/>
        <v>3.5342465753424658E-4</v>
      </c>
      <c r="D230" s="1">
        <f>B230*Table1[[#This Row],[Дневная ставка]]</f>
        <v>4.5263574290499529</v>
      </c>
      <c r="E230">
        <v>0</v>
      </c>
      <c r="F230" s="1">
        <f t="shared" si="10"/>
        <v>12811.661718694419</v>
      </c>
    </row>
    <row r="231" spans="1:6" x14ac:dyDescent="0.3">
      <c r="A231" s="3">
        <v>46284</v>
      </c>
      <c r="B231" s="1">
        <f t="shared" si="11"/>
        <v>12811.661718694419</v>
      </c>
      <c r="C231">
        <f t="shared" si="12"/>
        <v>3.5342465753424658E-4</v>
      </c>
      <c r="D231" s="1">
        <f>B231*Table1[[#This Row],[Дневная ставка]]</f>
        <v>4.5279571553741915</v>
      </c>
      <c r="E231">
        <v>650.05999999999995</v>
      </c>
      <c r="F231" s="1">
        <f t="shared" si="10"/>
        <v>12166.129675849794</v>
      </c>
    </row>
    <row r="232" spans="1:6" x14ac:dyDescent="0.3">
      <c r="A232" s="3">
        <v>46285</v>
      </c>
      <c r="B232" s="1">
        <f t="shared" si="11"/>
        <v>12166.129675849794</v>
      </c>
      <c r="C232">
        <f t="shared" si="12"/>
        <v>3.5342465753424658E-4</v>
      </c>
      <c r="D232" s="1">
        <f>B232*Table1[[#This Row],[Дневная ставка]]</f>
        <v>4.2998102142044479</v>
      </c>
      <c r="E232">
        <v>0</v>
      </c>
      <c r="F232" s="1">
        <f t="shared" si="10"/>
        <v>12170.429486063998</v>
      </c>
    </row>
    <row r="233" spans="1:6" x14ac:dyDescent="0.3">
      <c r="A233" s="3">
        <v>46286</v>
      </c>
      <c r="B233" s="1">
        <f t="shared" si="11"/>
        <v>12170.429486063998</v>
      </c>
      <c r="C233">
        <f t="shared" si="12"/>
        <v>3.5342465753424658E-4</v>
      </c>
      <c r="D233" s="1">
        <f>B233*Table1[[#This Row],[Дневная ставка]]</f>
        <v>4.301329873156865</v>
      </c>
      <c r="E233">
        <v>0</v>
      </c>
      <c r="F233" s="1">
        <f t="shared" si="10"/>
        <v>12174.730815937155</v>
      </c>
    </row>
    <row r="234" spans="1:6" x14ac:dyDescent="0.3">
      <c r="A234" s="3">
        <v>46287</v>
      </c>
      <c r="B234" s="1">
        <f t="shared" si="11"/>
        <v>12174.730815937155</v>
      </c>
      <c r="C234">
        <f t="shared" si="12"/>
        <v>3.5342465753424658E-4</v>
      </c>
      <c r="D234" s="1">
        <f>B234*Table1[[#This Row],[Дневная ставка]]</f>
        <v>4.3028500691942275</v>
      </c>
      <c r="E234">
        <v>0</v>
      </c>
      <c r="F234" s="1">
        <f t="shared" si="10"/>
        <v>12179.033666006349</v>
      </c>
    </row>
    <row r="235" spans="1:6" x14ac:dyDescent="0.3">
      <c r="A235" s="3">
        <v>46288</v>
      </c>
      <c r="B235" s="1">
        <f t="shared" si="11"/>
        <v>12179.033666006349</v>
      </c>
      <c r="C235">
        <f t="shared" si="12"/>
        <v>3.5342465753424658E-4</v>
      </c>
      <c r="D235" s="1">
        <f>B235*Table1[[#This Row],[Дневная ставка]]</f>
        <v>4.3043708025063534</v>
      </c>
      <c r="E235">
        <v>0</v>
      </c>
      <c r="F235" s="1">
        <f t="shared" si="10"/>
        <v>12183.338036808856</v>
      </c>
    </row>
    <row r="236" spans="1:6" x14ac:dyDescent="0.3">
      <c r="A236" s="3">
        <v>46289</v>
      </c>
      <c r="B236" s="1">
        <f t="shared" si="11"/>
        <v>12183.338036808856</v>
      </c>
      <c r="C236">
        <f t="shared" si="12"/>
        <v>3.5342465753424658E-4</v>
      </c>
      <c r="D236" s="1">
        <f>B236*Table1[[#This Row],[Дневная ставка]]</f>
        <v>4.3058920732831298</v>
      </c>
      <c r="E236">
        <v>0</v>
      </c>
      <c r="F236" s="1">
        <f t="shared" si="10"/>
        <v>12187.64392888214</v>
      </c>
    </row>
    <row r="237" spans="1:6" x14ac:dyDescent="0.3">
      <c r="A237" s="3">
        <v>46290</v>
      </c>
      <c r="B237" s="1">
        <f t="shared" si="11"/>
        <v>12187.64392888214</v>
      </c>
      <c r="C237">
        <f t="shared" si="12"/>
        <v>3.5342465753424658E-4</v>
      </c>
      <c r="D237" s="1">
        <f>B237*Table1[[#This Row],[Дневная ставка]]</f>
        <v>4.3074138817145098</v>
      </c>
      <c r="E237">
        <v>0</v>
      </c>
      <c r="F237" s="1">
        <f t="shared" si="10"/>
        <v>12191.951342763854</v>
      </c>
    </row>
    <row r="238" spans="1:6" x14ac:dyDescent="0.3">
      <c r="A238" s="3">
        <v>46291</v>
      </c>
      <c r="B238" s="1">
        <f t="shared" si="11"/>
        <v>12191.951342763854</v>
      </c>
      <c r="C238">
        <f t="shared" si="12"/>
        <v>3.5342465753424658E-4</v>
      </c>
      <c r="D238" s="1">
        <f>B238*Table1[[#This Row],[Дневная ставка]]</f>
        <v>4.3089362279905128</v>
      </c>
      <c r="E238">
        <v>0</v>
      </c>
      <c r="F238" s="1">
        <f t="shared" si="10"/>
        <v>12196.260278991844</v>
      </c>
    </row>
    <row r="239" spans="1:6" x14ac:dyDescent="0.3">
      <c r="A239" s="3">
        <v>46292</v>
      </c>
      <c r="B239" s="1">
        <f t="shared" si="11"/>
        <v>12196.260278991844</v>
      </c>
      <c r="C239">
        <f t="shared" si="12"/>
        <v>3.5342465753424658E-4</v>
      </c>
      <c r="D239" s="1">
        <f>B239*Table1[[#This Row],[Дневная ставка]]</f>
        <v>4.3104591123012268</v>
      </c>
      <c r="E239">
        <v>0</v>
      </c>
      <c r="F239" s="1">
        <f t="shared" si="10"/>
        <v>12200.570738104145</v>
      </c>
    </row>
    <row r="240" spans="1:6" x14ac:dyDescent="0.3">
      <c r="A240" s="3">
        <v>46293</v>
      </c>
      <c r="B240" s="1">
        <f t="shared" si="11"/>
        <v>12200.570738104145</v>
      </c>
      <c r="C240">
        <f t="shared" si="12"/>
        <v>3.5342465753424658E-4</v>
      </c>
      <c r="D240" s="1">
        <f>B240*Table1[[#This Row],[Дневная ставка]]</f>
        <v>4.3119825348368073</v>
      </c>
      <c r="E240">
        <v>0</v>
      </c>
      <c r="F240" s="1">
        <f t="shared" si="10"/>
        <v>12204.882720638981</v>
      </c>
    </row>
    <row r="241" spans="1:6" x14ac:dyDescent="0.3">
      <c r="A241" s="3">
        <v>46294</v>
      </c>
      <c r="B241" s="1">
        <f t="shared" si="11"/>
        <v>12204.882720638981</v>
      </c>
      <c r="C241">
        <f t="shared" si="12"/>
        <v>3.5342465753424658E-4</v>
      </c>
      <c r="D241" s="1">
        <f>B241*Table1[[#This Row],[Дневная ставка]]</f>
        <v>4.3135064957874754</v>
      </c>
      <c r="E241">
        <v>0</v>
      </c>
      <c r="F241" s="1">
        <f t="shared" si="10"/>
        <v>12209.196227134769</v>
      </c>
    </row>
    <row r="242" spans="1:6" x14ac:dyDescent="0.3">
      <c r="A242" s="3">
        <v>46295</v>
      </c>
      <c r="B242" s="1">
        <f t="shared" si="11"/>
        <v>12209.196227134769</v>
      </c>
      <c r="C242">
        <f t="shared" si="12"/>
        <v>3.5342465753424658E-4</v>
      </c>
      <c r="D242" s="1">
        <f>B242*Table1[[#This Row],[Дневная ставка]]</f>
        <v>4.3150309953435215</v>
      </c>
      <c r="E242">
        <v>0</v>
      </c>
      <c r="F242" s="1">
        <f t="shared" si="10"/>
        <v>12213.511258130113</v>
      </c>
    </row>
    <row r="243" spans="1:6" x14ac:dyDescent="0.3">
      <c r="A243" s="3">
        <v>46296</v>
      </c>
      <c r="B243" s="1">
        <f t="shared" si="11"/>
        <v>12213.511258130113</v>
      </c>
      <c r="C243">
        <f t="shared" si="12"/>
        <v>3.5342465753424658E-4</v>
      </c>
      <c r="D243" s="1">
        <f>B243*Table1[[#This Row],[Дневная ставка]]</f>
        <v>4.3165560336953002</v>
      </c>
      <c r="E243">
        <v>0</v>
      </c>
      <c r="F243" s="1">
        <f t="shared" si="10"/>
        <v>12217.827814163807</v>
      </c>
    </row>
    <row r="244" spans="1:6" x14ac:dyDescent="0.3">
      <c r="A244" s="3">
        <v>46297</v>
      </c>
      <c r="B244" s="1">
        <f t="shared" si="11"/>
        <v>12217.827814163807</v>
      </c>
      <c r="C244">
        <f t="shared" si="12"/>
        <v>3.5342465753424658E-4</v>
      </c>
      <c r="D244" s="1">
        <f>B244*Table1[[#This Row],[Дневная ставка]]</f>
        <v>4.3180816110332358</v>
      </c>
      <c r="E244">
        <v>0</v>
      </c>
      <c r="F244" s="1">
        <f t="shared" si="10"/>
        <v>12222.14589577484</v>
      </c>
    </row>
    <row r="245" spans="1:6" x14ac:dyDescent="0.3">
      <c r="A245" s="3">
        <v>46298</v>
      </c>
      <c r="B245" s="1">
        <f t="shared" si="11"/>
        <v>12222.14589577484</v>
      </c>
      <c r="C245">
        <f t="shared" si="12"/>
        <v>3.5342465753424658E-4</v>
      </c>
      <c r="D245" s="1">
        <f>B245*Table1[[#This Row],[Дневная ставка]]</f>
        <v>4.3196077275478206</v>
      </c>
      <c r="E245">
        <v>0</v>
      </c>
      <c r="F245" s="1">
        <f t="shared" si="10"/>
        <v>12226.465503502388</v>
      </c>
    </row>
    <row r="246" spans="1:6" x14ac:dyDescent="0.3">
      <c r="A246" s="3">
        <v>46299</v>
      </c>
      <c r="B246" s="1">
        <f t="shared" si="11"/>
        <v>12226.465503502388</v>
      </c>
      <c r="C246">
        <f t="shared" si="12"/>
        <v>3.5342465753424658E-4</v>
      </c>
      <c r="D246" s="1">
        <f>B246*Table1[[#This Row],[Дневная ставка]]</f>
        <v>4.3211343834296114</v>
      </c>
      <c r="E246">
        <v>0</v>
      </c>
      <c r="F246" s="1">
        <f t="shared" si="10"/>
        <v>12230.786637885818</v>
      </c>
    </row>
    <row r="247" spans="1:6" x14ac:dyDescent="0.3">
      <c r="A247" s="3">
        <v>46300</v>
      </c>
      <c r="B247" s="1">
        <f t="shared" si="11"/>
        <v>12230.786637885818</v>
      </c>
      <c r="C247">
        <f t="shared" si="12"/>
        <v>3.5342465753424658E-4</v>
      </c>
      <c r="D247" s="1">
        <f>B247*Table1[[#This Row],[Дневная ставка]]</f>
        <v>4.3226615788692344</v>
      </c>
      <c r="E247">
        <v>0</v>
      </c>
      <c r="F247" s="1">
        <f t="shared" si="10"/>
        <v>12235.109299464688</v>
      </c>
    </row>
    <row r="248" spans="1:6" x14ac:dyDescent="0.3">
      <c r="A248" s="3">
        <v>46301</v>
      </c>
      <c r="B248" s="1">
        <f t="shared" si="11"/>
        <v>12235.109299464688</v>
      </c>
      <c r="C248">
        <f t="shared" si="12"/>
        <v>3.5342465753424658E-4</v>
      </c>
      <c r="D248" s="1">
        <f>B248*Table1[[#This Row],[Дневная ставка]]</f>
        <v>4.3241893140573833</v>
      </c>
      <c r="E248">
        <v>0</v>
      </c>
      <c r="F248" s="1">
        <f t="shared" si="10"/>
        <v>12239.433488778745</v>
      </c>
    </row>
    <row r="249" spans="1:6" x14ac:dyDescent="0.3">
      <c r="A249" s="3">
        <v>46302</v>
      </c>
      <c r="B249" s="1">
        <f t="shared" si="11"/>
        <v>12239.433488778745</v>
      </c>
      <c r="C249">
        <f t="shared" si="12"/>
        <v>3.5342465753424658E-4</v>
      </c>
      <c r="D249" s="1">
        <f>B249*Table1[[#This Row],[Дневная ставка]]</f>
        <v>4.3257175891848165</v>
      </c>
      <c r="E249">
        <v>0</v>
      </c>
      <c r="F249" s="1">
        <f t="shared" si="10"/>
        <v>12243.759206367929</v>
      </c>
    </row>
    <row r="250" spans="1:6" x14ac:dyDescent="0.3">
      <c r="A250" s="3">
        <v>46303</v>
      </c>
      <c r="B250" s="1">
        <f t="shared" si="11"/>
        <v>12243.759206367929</v>
      </c>
      <c r="C250">
        <f t="shared" si="12"/>
        <v>3.5342465753424658E-4</v>
      </c>
      <c r="D250" s="1">
        <f>B250*Table1[[#This Row],[Дневная ставка]]</f>
        <v>4.3272464044423646</v>
      </c>
      <c r="E250">
        <v>0</v>
      </c>
      <c r="F250" s="1">
        <f t="shared" si="10"/>
        <v>12248.086452772372</v>
      </c>
    </row>
    <row r="251" spans="1:6" x14ac:dyDescent="0.3">
      <c r="A251" s="3">
        <v>46304</v>
      </c>
      <c r="B251" s="1">
        <f t="shared" si="11"/>
        <v>12248.086452772372</v>
      </c>
      <c r="C251">
        <f t="shared" si="12"/>
        <v>3.5342465753424658E-4</v>
      </c>
      <c r="D251" s="1">
        <f>B251*Table1[[#This Row],[Дневная ставка]]</f>
        <v>4.3287757600209202</v>
      </c>
      <c r="E251">
        <v>0</v>
      </c>
      <c r="F251" s="1">
        <f t="shared" si="10"/>
        <v>12252.415228532393</v>
      </c>
    </row>
    <row r="252" spans="1:6" x14ac:dyDescent="0.3">
      <c r="A252" s="3">
        <v>46305</v>
      </c>
      <c r="B252" s="1">
        <f t="shared" si="11"/>
        <v>12252.415228532393</v>
      </c>
      <c r="C252">
        <f t="shared" si="12"/>
        <v>3.5342465753424658E-4</v>
      </c>
      <c r="D252" s="1">
        <f>B252*Table1[[#This Row],[Дневная ставка]]</f>
        <v>4.3303056561114488</v>
      </c>
      <c r="E252">
        <v>0</v>
      </c>
      <c r="F252" s="1">
        <f t="shared" si="10"/>
        <v>12256.745534188503</v>
      </c>
    </row>
    <row r="253" spans="1:6" x14ac:dyDescent="0.3">
      <c r="A253" s="3">
        <v>46306</v>
      </c>
      <c r="B253" s="1">
        <f t="shared" si="11"/>
        <v>12256.745534188503</v>
      </c>
      <c r="C253">
        <f t="shared" si="12"/>
        <v>3.5342465753424658E-4</v>
      </c>
      <c r="D253" s="1">
        <f>B253*Table1[[#This Row],[Дневная ставка]]</f>
        <v>4.331836092904978</v>
      </c>
      <c r="E253">
        <v>0</v>
      </c>
      <c r="F253" s="1">
        <f t="shared" si="10"/>
        <v>12261.077370281408</v>
      </c>
    </row>
    <row r="254" spans="1:6" x14ac:dyDescent="0.3">
      <c r="A254" s="3">
        <v>46307</v>
      </c>
      <c r="B254" s="1">
        <f t="shared" si="11"/>
        <v>12261.077370281408</v>
      </c>
      <c r="C254">
        <f t="shared" si="12"/>
        <v>3.5342465753424658E-4</v>
      </c>
      <c r="D254" s="1">
        <f>B254*Table1[[#This Row],[Дневная ставка]]</f>
        <v>4.3333670705926073</v>
      </c>
      <c r="E254">
        <v>0</v>
      </c>
      <c r="F254" s="1">
        <f t="shared" si="10"/>
        <v>12265.410737352</v>
      </c>
    </row>
    <row r="255" spans="1:6" x14ac:dyDescent="0.3">
      <c r="A255" s="3">
        <v>46308</v>
      </c>
      <c r="B255" s="1">
        <f t="shared" si="11"/>
        <v>12265.410737352</v>
      </c>
      <c r="C255">
        <f t="shared" si="12"/>
        <v>3.5342465753424658E-4</v>
      </c>
      <c r="D255" s="1">
        <f>B255*Table1[[#This Row],[Дневная ставка]]</f>
        <v>4.3348985893655012</v>
      </c>
      <c r="E255">
        <v>0</v>
      </c>
      <c r="F255" s="1">
        <f t="shared" si="10"/>
        <v>12269.745635941366</v>
      </c>
    </row>
    <row r="256" spans="1:6" x14ac:dyDescent="0.3">
      <c r="A256" s="3">
        <v>46309</v>
      </c>
      <c r="B256" s="1">
        <f t="shared" si="11"/>
        <v>12269.745635941366</v>
      </c>
      <c r="C256">
        <f t="shared" si="12"/>
        <v>3.5342465753424658E-4</v>
      </c>
      <c r="D256" s="1">
        <f>B256*Table1[[#This Row],[Дневная ставка]]</f>
        <v>4.3364306494148943</v>
      </c>
      <c r="E256">
        <v>0</v>
      </c>
      <c r="F256" s="1">
        <f t="shared" si="10"/>
        <v>12274.082066590781</v>
      </c>
    </row>
    <row r="257" spans="1:6" x14ac:dyDescent="0.3">
      <c r="A257" s="3">
        <v>46310</v>
      </c>
      <c r="B257" s="1">
        <f t="shared" si="11"/>
        <v>12274.082066590781</v>
      </c>
      <c r="C257">
        <f t="shared" si="12"/>
        <v>3.5342465753424658E-4</v>
      </c>
      <c r="D257" s="1">
        <f>B257*Table1[[#This Row],[Дневная ставка]]</f>
        <v>4.3379632509320842</v>
      </c>
      <c r="E257">
        <v>0</v>
      </c>
      <c r="F257" s="1">
        <f t="shared" si="10"/>
        <v>12278.420029841713</v>
      </c>
    </row>
    <row r="258" spans="1:6" x14ac:dyDescent="0.3">
      <c r="A258" s="3">
        <v>46311</v>
      </c>
      <c r="B258" s="1">
        <f t="shared" si="11"/>
        <v>12278.420029841713</v>
      </c>
      <c r="C258">
        <f t="shared" si="12"/>
        <v>3.5342465753424658E-4</v>
      </c>
      <c r="D258" s="1">
        <f>B258*Table1[[#This Row],[Дневная ставка]]</f>
        <v>4.3394963941084415</v>
      </c>
      <c r="E258">
        <v>0</v>
      </c>
      <c r="F258" s="1">
        <f t="shared" si="10"/>
        <v>12282.759526235821</v>
      </c>
    </row>
    <row r="259" spans="1:6" x14ac:dyDescent="0.3">
      <c r="A259" s="3">
        <v>46312</v>
      </c>
      <c r="B259" s="1">
        <f t="shared" si="11"/>
        <v>12282.759526235821</v>
      </c>
      <c r="C259">
        <f t="shared" si="12"/>
        <v>3.5342465753424658E-4</v>
      </c>
      <c r="D259" s="1">
        <f>B259*Table1[[#This Row],[Дневная ставка]]</f>
        <v>4.3410300791353995</v>
      </c>
      <c r="E259">
        <v>0</v>
      </c>
      <c r="F259" s="1">
        <f t="shared" ref="F259:F322" si="13">B259+D259-E259</f>
        <v>12287.100556314956</v>
      </c>
    </row>
    <row r="260" spans="1:6" x14ac:dyDescent="0.3">
      <c r="A260" s="3">
        <v>46313</v>
      </c>
      <c r="B260" s="1">
        <f t="shared" ref="B260:B323" si="14">F259</f>
        <v>12287.100556314956</v>
      </c>
      <c r="C260">
        <f t="shared" si="12"/>
        <v>3.5342465753424658E-4</v>
      </c>
      <c r="D260" s="1">
        <f>B260*Table1[[#This Row],[Дневная ставка]]</f>
        <v>4.3425643062044639</v>
      </c>
      <c r="E260">
        <v>0</v>
      </c>
      <c r="F260" s="1">
        <f t="shared" si="13"/>
        <v>12291.443120621159</v>
      </c>
    </row>
    <row r="261" spans="1:6" x14ac:dyDescent="0.3">
      <c r="A261" s="3">
        <v>46314</v>
      </c>
      <c r="B261" s="1">
        <f t="shared" si="14"/>
        <v>12291.443120621159</v>
      </c>
      <c r="C261">
        <f t="shared" si="12"/>
        <v>3.5342465753424658E-4</v>
      </c>
      <c r="D261" s="1">
        <f>B261*Table1[[#This Row],[Дневная ставка]]</f>
        <v>4.344099075507204</v>
      </c>
      <c r="E261">
        <v>650.05999999999995</v>
      </c>
      <c r="F261" s="1">
        <f t="shared" si="13"/>
        <v>11645.727219696668</v>
      </c>
    </row>
    <row r="262" spans="1:6" x14ac:dyDescent="0.3">
      <c r="A262" s="3">
        <v>46315</v>
      </c>
      <c r="B262" s="1">
        <f t="shared" si="14"/>
        <v>11645.727219696668</v>
      </c>
      <c r="C262">
        <f t="shared" si="12"/>
        <v>3.5342465753424658E-4</v>
      </c>
      <c r="D262" s="1">
        <f>B262*Table1[[#This Row],[Дневная ставка]]</f>
        <v>4.115887154358548</v>
      </c>
      <c r="E262">
        <v>0</v>
      </c>
      <c r="F262" s="1">
        <f t="shared" si="13"/>
        <v>11649.843106851027</v>
      </c>
    </row>
    <row r="263" spans="1:6" x14ac:dyDescent="0.3">
      <c r="A263" s="3">
        <v>46316</v>
      </c>
      <c r="B263" s="1">
        <f t="shared" si="14"/>
        <v>11649.843106851027</v>
      </c>
      <c r="C263">
        <f t="shared" si="12"/>
        <v>3.5342465753424658E-4</v>
      </c>
      <c r="D263" s="1">
        <f>B263*Table1[[#This Row],[Дневная ставка]]</f>
        <v>4.1173418103665274</v>
      </c>
      <c r="E263">
        <v>0</v>
      </c>
      <c r="F263" s="1">
        <f t="shared" si="13"/>
        <v>11653.960448661393</v>
      </c>
    </row>
    <row r="264" spans="1:6" x14ac:dyDescent="0.3">
      <c r="A264" s="3">
        <v>46317</v>
      </c>
      <c r="B264" s="1">
        <f t="shared" si="14"/>
        <v>11653.960448661393</v>
      </c>
      <c r="C264">
        <f t="shared" si="12"/>
        <v>3.5342465753424658E-4</v>
      </c>
      <c r="D264" s="1">
        <f>B264*Table1[[#This Row],[Дневная ставка]]</f>
        <v>4.1187969804858078</v>
      </c>
      <c r="E264">
        <v>0</v>
      </c>
      <c r="F264" s="1">
        <f t="shared" si="13"/>
        <v>11658.079245641879</v>
      </c>
    </row>
    <row r="265" spans="1:6" x14ac:dyDescent="0.3">
      <c r="A265" s="3">
        <v>46318</v>
      </c>
      <c r="B265" s="1">
        <f t="shared" si="14"/>
        <v>11658.079245641879</v>
      </c>
      <c r="C265">
        <f t="shared" si="12"/>
        <v>3.5342465753424658E-4</v>
      </c>
      <c r="D265" s="1">
        <f>B265*Table1[[#This Row],[Дневная ставка]]</f>
        <v>4.1202526648980884</v>
      </c>
      <c r="E265">
        <v>0</v>
      </c>
      <c r="F265" s="1">
        <f t="shared" si="13"/>
        <v>11662.199498306776</v>
      </c>
    </row>
    <row r="266" spans="1:6" x14ac:dyDescent="0.3">
      <c r="A266" s="3">
        <v>46319</v>
      </c>
      <c r="B266" s="1">
        <f t="shared" si="14"/>
        <v>11662.199498306776</v>
      </c>
      <c r="C266">
        <f t="shared" si="12"/>
        <v>3.5342465753424658E-4</v>
      </c>
      <c r="D266" s="1">
        <f>B266*Table1[[#This Row],[Дневная ставка]]</f>
        <v>4.1217088637851349</v>
      </c>
      <c r="E266">
        <v>0</v>
      </c>
      <c r="F266" s="1">
        <f t="shared" si="13"/>
        <v>11666.321207170562</v>
      </c>
    </row>
    <row r="267" spans="1:6" x14ac:dyDescent="0.3">
      <c r="A267" s="3">
        <v>46320</v>
      </c>
      <c r="B267" s="1">
        <f t="shared" si="14"/>
        <v>11666.321207170562</v>
      </c>
      <c r="C267">
        <f t="shared" si="12"/>
        <v>3.5342465753424658E-4</v>
      </c>
      <c r="D267" s="1">
        <f>B267*Table1[[#This Row],[Дневная ставка]]</f>
        <v>4.1231655773287743</v>
      </c>
      <c r="E267">
        <v>0</v>
      </c>
      <c r="F267" s="1">
        <f t="shared" si="13"/>
        <v>11670.44437274789</v>
      </c>
    </row>
    <row r="268" spans="1:6" x14ac:dyDescent="0.3">
      <c r="A268" s="3">
        <v>46321</v>
      </c>
      <c r="B268" s="1">
        <f t="shared" si="14"/>
        <v>11670.44437274789</v>
      </c>
      <c r="C268">
        <f t="shared" si="12"/>
        <v>3.5342465753424658E-4</v>
      </c>
      <c r="D268" s="1">
        <f>B268*Table1[[#This Row],[Дневная ставка]]</f>
        <v>4.1246228057108985</v>
      </c>
      <c r="E268">
        <v>0</v>
      </c>
      <c r="F268" s="1">
        <f t="shared" si="13"/>
        <v>11674.568995553602</v>
      </c>
    </row>
    <row r="269" spans="1:6" x14ac:dyDescent="0.3">
      <c r="A269" s="3">
        <v>46322</v>
      </c>
      <c r="B269" s="1">
        <f t="shared" si="14"/>
        <v>11674.568995553602</v>
      </c>
      <c r="C269">
        <f t="shared" si="12"/>
        <v>3.5342465753424658E-4</v>
      </c>
      <c r="D269" s="1">
        <f>B269*Table1[[#This Row],[Дневная ставка]]</f>
        <v>4.1260805491134649</v>
      </c>
      <c r="E269">
        <v>0</v>
      </c>
      <c r="F269" s="1">
        <f t="shared" si="13"/>
        <v>11678.695076102715</v>
      </c>
    </row>
    <row r="270" spans="1:6" x14ac:dyDescent="0.3">
      <c r="A270" s="3">
        <v>46323</v>
      </c>
      <c r="B270" s="1">
        <f t="shared" si="14"/>
        <v>11678.695076102715</v>
      </c>
      <c r="C270">
        <f t="shared" si="12"/>
        <v>3.5342465753424658E-4</v>
      </c>
      <c r="D270" s="1">
        <f>B270*Table1[[#This Row],[Дневная ставка]]</f>
        <v>4.1275388077184934</v>
      </c>
      <c r="E270">
        <v>0</v>
      </c>
      <c r="F270" s="1">
        <f t="shared" si="13"/>
        <v>11682.822614910434</v>
      </c>
    </row>
    <row r="271" spans="1:6" x14ac:dyDescent="0.3">
      <c r="A271" s="3">
        <v>46324</v>
      </c>
      <c r="B271" s="1">
        <f t="shared" si="14"/>
        <v>11682.822614910434</v>
      </c>
      <c r="C271">
        <f t="shared" si="12"/>
        <v>3.5342465753424658E-4</v>
      </c>
      <c r="D271" s="1">
        <f>B271*Table1[[#This Row],[Дневная ставка]]</f>
        <v>4.1289975817080711</v>
      </c>
      <c r="E271">
        <v>0</v>
      </c>
      <c r="F271" s="1">
        <f t="shared" si="13"/>
        <v>11686.951612492143</v>
      </c>
    </row>
    <row r="272" spans="1:6" x14ac:dyDescent="0.3">
      <c r="A272" s="3">
        <v>46325</v>
      </c>
      <c r="B272" s="1">
        <f t="shared" si="14"/>
        <v>11686.951612492143</v>
      </c>
      <c r="C272">
        <f t="shared" si="12"/>
        <v>3.5342465753424658E-4</v>
      </c>
      <c r="D272" s="1">
        <f>B272*Table1[[#This Row],[Дневная ставка]]</f>
        <v>4.1304568712643466</v>
      </c>
      <c r="E272">
        <v>0</v>
      </c>
      <c r="F272" s="1">
        <f t="shared" si="13"/>
        <v>11691.082069363407</v>
      </c>
    </row>
    <row r="273" spans="1:6" x14ac:dyDescent="0.3">
      <c r="A273" s="3">
        <v>46326</v>
      </c>
      <c r="B273" s="1">
        <f t="shared" si="14"/>
        <v>11691.082069363407</v>
      </c>
      <c r="C273">
        <f t="shared" si="12"/>
        <v>3.5342465753424658E-4</v>
      </c>
      <c r="D273" s="1">
        <f>B273*Table1[[#This Row],[Дневная ставка]]</f>
        <v>4.1319166765695332</v>
      </c>
      <c r="E273">
        <v>0</v>
      </c>
      <c r="F273" s="1">
        <f t="shared" si="13"/>
        <v>11695.213986039977</v>
      </c>
    </row>
    <row r="274" spans="1:6" x14ac:dyDescent="0.3">
      <c r="A274" s="3">
        <v>46327</v>
      </c>
      <c r="B274" s="1">
        <f t="shared" si="14"/>
        <v>11695.213986039977</v>
      </c>
      <c r="C274">
        <f t="shared" si="12"/>
        <v>3.5342465753424658E-4</v>
      </c>
      <c r="D274" s="1">
        <f>B274*Table1[[#This Row],[Дневная ставка]]</f>
        <v>4.1333769978059101</v>
      </c>
      <c r="E274">
        <v>0</v>
      </c>
      <c r="F274" s="1">
        <f t="shared" si="13"/>
        <v>11699.347363037783</v>
      </c>
    </row>
    <row r="275" spans="1:6" x14ac:dyDescent="0.3">
      <c r="A275" s="3">
        <v>46328</v>
      </c>
      <c r="B275" s="1">
        <f t="shared" si="14"/>
        <v>11699.347363037783</v>
      </c>
      <c r="C275">
        <f t="shared" si="12"/>
        <v>3.5342465753424658E-4</v>
      </c>
      <c r="D275" s="1">
        <f>B275*Table1[[#This Row],[Дневная ставка]]</f>
        <v>4.1348378351558193</v>
      </c>
      <c r="E275">
        <v>0</v>
      </c>
      <c r="F275" s="1">
        <f t="shared" si="13"/>
        <v>11703.482200872939</v>
      </c>
    </row>
    <row r="276" spans="1:6" x14ac:dyDescent="0.3">
      <c r="A276" s="3">
        <v>46329</v>
      </c>
      <c r="B276" s="1">
        <f t="shared" si="14"/>
        <v>11703.482200872939</v>
      </c>
      <c r="C276">
        <f t="shared" ref="C276:C339" si="15">(12.9%/365)</f>
        <v>3.5342465753424658E-4</v>
      </c>
      <c r="D276" s="1">
        <f>B276*Table1[[#This Row],[Дневная ставка]]</f>
        <v>4.1362991888016687</v>
      </c>
      <c r="E276">
        <v>0</v>
      </c>
      <c r="F276" s="1">
        <f t="shared" si="13"/>
        <v>11707.618500061741</v>
      </c>
    </row>
    <row r="277" spans="1:6" x14ac:dyDescent="0.3">
      <c r="A277" s="3">
        <v>46330</v>
      </c>
      <c r="B277" s="1">
        <f t="shared" si="14"/>
        <v>11707.618500061741</v>
      </c>
      <c r="C277">
        <f t="shared" si="15"/>
        <v>3.5342465753424658E-4</v>
      </c>
      <c r="D277" s="1">
        <f>B277*Table1[[#This Row],[Дневная ставка]]</f>
        <v>4.1377610589259302</v>
      </c>
      <c r="E277">
        <v>0</v>
      </c>
      <c r="F277" s="1">
        <f t="shared" si="13"/>
        <v>11711.756261120667</v>
      </c>
    </row>
    <row r="278" spans="1:6" x14ac:dyDescent="0.3">
      <c r="A278" s="3">
        <v>46331</v>
      </c>
      <c r="B278" s="1">
        <f t="shared" si="14"/>
        <v>11711.756261120667</v>
      </c>
      <c r="C278">
        <f t="shared" si="15"/>
        <v>3.5342465753424658E-4</v>
      </c>
      <c r="D278" s="1">
        <f>B278*Table1[[#This Row],[Дневная ставка]]</f>
        <v>4.1392234457111394</v>
      </c>
      <c r="E278">
        <v>0</v>
      </c>
      <c r="F278" s="1">
        <f t="shared" si="13"/>
        <v>11715.895484566377</v>
      </c>
    </row>
    <row r="279" spans="1:6" x14ac:dyDescent="0.3">
      <c r="A279" s="3">
        <v>46332</v>
      </c>
      <c r="B279" s="1">
        <f t="shared" si="14"/>
        <v>11715.895484566377</v>
      </c>
      <c r="C279">
        <f t="shared" si="15"/>
        <v>3.5342465753424658E-4</v>
      </c>
      <c r="D279" s="1">
        <f>B279*Table1[[#This Row],[Дневная ставка]]</f>
        <v>4.140686349339898</v>
      </c>
      <c r="E279">
        <v>0</v>
      </c>
      <c r="F279" s="1">
        <f t="shared" si="13"/>
        <v>11720.036170915717</v>
      </c>
    </row>
    <row r="280" spans="1:6" x14ac:dyDescent="0.3">
      <c r="A280" s="3">
        <v>46333</v>
      </c>
      <c r="B280" s="1">
        <f t="shared" si="14"/>
        <v>11720.036170915717</v>
      </c>
      <c r="C280">
        <f t="shared" si="15"/>
        <v>3.5342465753424658E-4</v>
      </c>
      <c r="D280" s="1">
        <f>B280*Table1[[#This Row],[Дневная ставка]]</f>
        <v>4.1421497699948695</v>
      </c>
      <c r="E280">
        <v>0</v>
      </c>
      <c r="F280" s="1">
        <f t="shared" si="13"/>
        <v>11724.178320685713</v>
      </c>
    </row>
    <row r="281" spans="1:6" x14ac:dyDescent="0.3">
      <c r="A281" s="3">
        <v>46334</v>
      </c>
      <c r="B281" s="1">
        <f t="shared" si="14"/>
        <v>11724.178320685713</v>
      </c>
      <c r="C281">
        <f t="shared" si="15"/>
        <v>3.5342465753424658E-4</v>
      </c>
      <c r="D281" s="1">
        <f>B281*Table1[[#This Row],[Дневная ставка]]</f>
        <v>4.143613707858786</v>
      </c>
      <c r="E281">
        <v>0</v>
      </c>
      <c r="F281" s="1">
        <f t="shared" si="13"/>
        <v>11728.321934393571</v>
      </c>
    </row>
    <row r="282" spans="1:6" x14ac:dyDescent="0.3">
      <c r="A282" s="3">
        <v>46335</v>
      </c>
      <c r="B282" s="1">
        <f t="shared" si="14"/>
        <v>11728.321934393571</v>
      </c>
      <c r="C282">
        <f t="shared" si="15"/>
        <v>3.5342465753424658E-4</v>
      </c>
      <c r="D282" s="1">
        <f>B282*Table1[[#This Row],[Дневная ставка]]</f>
        <v>4.14507816311444</v>
      </c>
      <c r="E282">
        <v>0</v>
      </c>
      <c r="F282" s="1">
        <f t="shared" si="13"/>
        <v>11732.467012556684</v>
      </c>
    </row>
    <row r="283" spans="1:6" x14ac:dyDescent="0.3">
      <c r="A283" s="3">
        <v>46336</v>
      </c>
      <c r="B283" s="1">
        <f t="shared" si="14"/>
        <v>11732.467012556684</v>
      </c>
      <c r="C283">
        <f t="shared" si="15"/>
        <v>3.5342465753424658E-4</v>
      </c>
      <c r="D283" s="1">
        <f>B283*Table1[[#This Row],[Дневная ставка]]</f>
        <v>4.1465431359446914</v>
      </c>
      <c r="E283">
        <v>0</v>
      </c>
      <c r="F283" s="1">
        <f t="shared" si="13"/>
        <v>11736.613555692629</v>
      </c>
    </row>
    <row r="284" spans="1:6" x14ac:dyDescent="0.3">
      <c r="A284" s="3">
        <v>46337</v>
      </c>
      <c r="B284" s="1">
        <f t="shared" si="14"/>
        <v>11736.613555692629</v>
      </c>
      <c r="C284">
        <f t="shared" si="15"/>
        <v>3.5342465753424658E-4</v>
      </c>
      <c r="D284" s="1">
        <f>B284*Table1[[#This Row],[Дневная ставка]]</f>
        <v>4.1480086265324632</v>
      </c>
      <c r="E284">
        <v>0</v>
      </c>
      <c r="F284" s="1">
        <f t="shared" si="13"/>
        <v>11740.761564319162</v>
      </c>
    </row>
    <row r="285" spans="1:6" x14ac:dyDescent="0.3">
      <c r="A285" s="3">
        <v>46338</v>
      </c>
      <c r="B285" s="1">
        <f t="shared" si="14"/>
        <v>11740.761564319162</v>
      </c>
      <c r="C285">
        <f t="shared" si="15"/>
        <v>3.5342465753424658E-4</v>
      </c>
      <c r="D285" s="1">
        <f>B285*Table1[[#This Row],[Дневная ставка]]</f>
        <v>4.149474635060745</v>
      </c>
      <c r="E285">
        <v>0</v>
      </c>
      <c r="F285" s="1">
        <f t="shared" si="13"/>
        <v>11744.911038954222</v>
      </c>
    </row>
    <row r="286" spans="1:6" x14ac:dyDescent="0.3">
      <c r="A286" s="3">
        <v>46339</v>
      </c>
      <c r="B286" s="1">
        <f t="shared" si="14"/>
        <v>11744.911038954222</v>
      </c>
      <c r="C286">
        <f t="shared" si="15"/>
        <v>3.5342465753424658E-4</v>
      </c>
      <c r="D286" s="1">
        <f>B286*Table1[[#This Row],[Дневная ставка]]</f>
        <v>4.1509411617125878</v>
      </c>
      <c r="E286">
        <v>0</v>
      </c>
      <c r="F286" s="1">
        <f t="shared" si="13"/>
        <v>11749.061980115936</v>
      </c>
    </row>
    <row r="287" spans="1:6" x14ac:dyDescent="0.3">
      <c r="A287" s="3">
        <v>46340</v>
      </c>
      <c r="B287" s="1">
        <f t="shared" si="14"/>
        <v>11749.061980115936</v>
      </c>
      <c r="C287">
        <f t="shared" si="15"/>
        <v>3.5342465753424658E-4</v>
      </c>
      <c r="D287" s="1">
        <f>B287*Table1[[#This Row],[Дневная ставка]]</f>
        <v>4.1524082066711117</v>
      </c>
      <c r="E287">
        <v>0</v>
      </c>
      <c r="F287" s="1">
        <f t="shared" si="13"/>
        <v>11753.214388322607</v>
      </c>
    </row>
    <row r="288" spans="1:6" x14ac:dyDescent="0.3">
      <c r="A288" s="3">
        <v>46341</v>
      </c>
      <c r="B288" s="1">
        <f t="shared" si="14"/>
        <v>11753.214388322607</v>
      </c>
      <c r="C288">
        <f t="shared" si="15"/>
        <v>3.5342465753424658E-4</v>
      </c>
      <c r="D288" s="1">
        <f>B288*Table1[[#This Row],[Дневная ставка]]</f>
        <v>4.1538757701194973</v>
      </c>
      <c r="E288">
        <v>0</v>
      </c>
      <c r="F288" s="1">
        <f t="shared" si="13"/>
        <v>11757.368264092727</v>
      </c>
    </row>
    <row r="289" spans="1:6" x14ac:dyDescent="0.3">
      <c r="A289" s="3">
        <v>46342</v>
      </c>
      <c r="B289" s="1">
        <f t="shared" si="14"/>
        <v>11757.368264092727</v>
      </c>
      <c r="C289">
        <f t="shared" si="15"/>
        <v>3.5342465753424658E-4</v>
      </c>
      <c r="D289" s="1">
        <f>B289*Table1[[#This Row],[Дневная ставка]]</f>
        <v>4.1553438522409918</v>
      </c>
      <c r="E289">
        <v>0</v>
      </c>
      <c r="F289" s="1">
        <f t="shared" si="13"/>
        <v>11761.523607944968</v>
      </c>
    </row>
    <row r="290" spans="1:6" x14ac:dyDescent="0.3">
      <c r="A290" s="3">
        <v>46343</v>
      </c>
      <c r="B290" s="1">
        <f t="shared" si="14"/>
        <v>11761.523607944968</v>
      </c>
      <c r="C290">
        <f t="shared" si="15"/>
        <v>3.5342465753424658E-4</v>
      </c>
      <c r="D290" s="1">
        <f>B290*Table1[[#This Row],[Дневная ставка]]</f>
        <v>4.1568124532189064</v>
      </c>
      <c r="E290">
        <v>0</v>
      </c>
      <c r="F290" s="1">
        <f t="shared" si="13"/>
        <v>11765.680420398186</v>
      </c>
    </row>
    <row r="291" spans="1:6" x14ac:dyDescent="0.3">
      <c r="A291" s="3">
        <v>46344</v>
      </c>
      <c r="B291" s="1">
        <f t="shared" si="14"/>
        <v>11765.680420398186</v>
      </c>
      <c r="C291">
        <f t="shared" si="15"/>
        <v>3.5342465753424658E-4</v>
      </c>
      <c r="D291" s="1">
        <f>B291*Table1[[#This Row],[Дневная ставка]]</f>
        <v>4.1582815732366196</v>
      </c>
      <c r="E291">
        <v>0</v>
      </c>
      <c r="F291" s="1">
        <f t="shared" si="13"/>
        <v>11769.838701971423</v>
      </c>
    </row>
    <row r="292" spans="1:6" x14ac:dyDescent="0.3">
      <c r="A292" s="3">
        <v>46345</v>
      </c>
      <c r="B292" s="1">
        <f t="shared" si="14"/>
        <v>11769.838701971423</v>
      </c>
      <c r="C292">
        <f t="shared" si="15"/>
        <v>3.5342465753424658E-4</v>
      </c>
      <c r="D292" s="1">
        <f>B292*Table1[[#This Row],[Дневная ставка]]</f>
        <v>4.1597512124775715</v>
      </c>
      <c r="E292">
        <v>650.05999999999995</v>
      </c>
      <c r="F292" s="1">
        <f t="shared" si="13"/>
        <v>11123.9384531839</v>
      </c>
    </row>
    <row r="293" spans="1:6" x14ac:dyDescent="0.3">
      <c r="A293" s="3">
        <v>46346</v>
      </c>
      <c r="B293" s="1">
        <f t="shared" si="14"/>
        <v>11123.9384531839</v>
      </c>
      <c r="C293">
        <f t="shared" si="15"/>
        <v>3.5342465753424658E-4</v>
      </c>
      <c r="D293" s="1">
        <f>B293*Table1[[#This Row],[Дневная ставка]]</f>
        <v>3.9314741382485567</v>
      </c>
      <c r="E293">
        <v>0</v>
      </c>
      <c r="F293" s="1">
        <f t="shared" si="13"/>
        <v>11127.869927322148</v>
      </c>
    </row>
    <row r="294" spans="1:6" x14ac:dyDescent="0.3">
      <c r="A294" s="3">
        <v>46347</v>
      </c>
      <c r="B294" s="1">
        <f t="shared" si="14"/>
        <v>11127.869927322148</v>
      </c>
      <c r="C294">
        <f t="shared" si="15"/>
        <v>3.5342465753424658E-4</v>
      </c>
      <c r="D294" s="1">
        <f>B294*Table1[[#This Row],[Дневная ставка]]</f>
        <v>3.9328636181494718</v>
      </c>
      <c r="E294">
        <v>0</v>
      </c>
      <c r="F294" s="1">
        <f t="shared" si="13"/>
        <v>11131.802790940297</v>
      </c>
    </row>
    <row r="295" spans="1:6" x14ac:dyDescent="0.3">
      <c r="A295" s="3">
        <v>46348</v>
      </c>
      <c r="B295" s="1">
        <f t="shared" si="14"/>
        <v>11131.802790940297</v>
      </c>
      <c r="C295">
        <f t="shared" si="15"/>
        <v>3.5342465753424658E-4</v>
      </c>
      <c r="D295" s="1">
        <f>B295*Table1[[#This Row],[Дневная ставка]]</f>
        <v>3.9342535891268446</v>
      </c>
      <c r="E295">
        <v>0</v>
      </c>
      <c r="F295" s="1">
        <f t="shared" si="13"/>
        <v>11135.737044529424</v>
      </c>
    </row>
    <row r="296" spans="1:6" x14ac:dyDescent="0.3">
      <c r="A296" s="3">
        <v>46349</v>
      </c>
      <c r="B296" s="1">
        <f t="shared" si="14"/>
        <v>11135.737044529424</v>
      </c>
      <c r="C296">
        <f t="shared" si="15"/>
        <v>3.5342465753424658E-4</v>
      </c>
      <c r="D296" s="1">
        <f>B296*Table1[[#This Row],[Дневная ставка]]</f>
        <v>3.9356440513542346</v>
      </c>
      <c r="E296">
        <v>0</v>
      </c>
      <c r="F296" s="1">
        <f t="shared" si="13"/>
        <v>11139.672688580778</v>
      </c>
    </row>
    <row r="297" spans="1:6" x14ac:dyDescent="0.3">
      <c r="A297" s="3">
        <v>46350</v>
      </c>
      <c r="B297" s="1">
        <f t="shared" si="14"/>
        <v>11139.672688580778</v>
      </c>
      <c r="C297">
        <f t="shared" si="15"/>
        <v>3.5342465753424658E-4</v>
      </c>
      <c r="D297" s="1">
        <f>B297*Table1[[#This Row],[Дневная ставка]]</f>
        <v>3.9370350050052614</v>
      </c>
      <c r="E297">
        <v>0</v>
      </c>
      <c r="F297" s="1">
        <f t="shared" si="13"/>
        <v>11143.609723585783</v>
      </c>
    </row>
    <row r="298" spans="1:6" x14ac:dyDescent="0.3">
      <c r="A298" s="3">
        <v>46351</v>
      </c>
      <c r="B298" s="1">
        <f t="shared" si="14"/>
        <v>11143.609723585783</v>
      </c>
      <c r="C298">
        <f t="shared" si="15"/>
        <v>3.5342465753424658E-4</v>
      </c>
      <c r="D298" s="1">
        <f>B298*Table1[[#This Row],[Дневная ставка]]</f>
        <v>3.9384264502536057</v>
      </c>
      <c r="E298">
        <v>0</v>
      </c>
      <c r="F298" s="1">
        <f t="shared" si="13"/>
        <v>11147.548150036037</v>
      </c>
    </row>
    <row r="299" spans="1:6" x14ac:dyDescent="0.3">
      <c r="A299" s="3">
        <v>46352</v>
      </c>
      <c r="B299" s="1">
        <f t="shared" si="14"/>
        <v>11147.548150036037</v>
      </c>
      <c r="C299">
        <f t="shared" si="15"/>
        <v>3.5342465753424658E-4</v>
      </c>
      <c r="D299" s="1">
        <f>B299*Table1[[#This Row],[Дневная ставка]]</f>
        <v>3.9398183872730104</v>
      </c>
      <c r="E299">
        <v>0</v>
      </c>
      <c r="F299" s="1">
        <f t="shared" si="13"/>
        <v>11151.487968423309</v>
      </c>
    </row>
    <row r="300" spans="1:6" x14ac:dyDescent="0.3">
      <c r="A300" s="3">
        <v>46353</v>
      </c>
      <c r="B300" s="1">
        <f t="shared" si="14"/>
        <v>11151.487968423309</v>
      </c>
      <c r="C300">
        <f t="shared" si="15"/>
        <v>3.5342465753424658E-4</v>
      </c>
      <c r="D300" s="1">
        <f>B300*Table1[[#This Row],[Дневная ставка]]</f>
        <v>3.9412108162372794</v>
      </c>
      <c r="E300">
        <v>0</v>
      </c>
      <c r="F300" s="1">
        <f t="shared" si="13"/>
        <v>11155.429179239547</v>
      </c>
    </row>
    <row r="301" spans="1:6" x14ac:dyDescent="0.3">
      <c r="A301" s="3">
        <v>46354</v>
      </c>
      <c r="B301" s="1">
        <f t="shared" si="14"/>
        <v>11155.429179239547</v>
      </c>
      <c r="C301">
        <f t="shared" si="15"/>
        <v>3.5342465753424658E-4</v>
      </c>
      <c r="D301" s="1">
        <f>B301*Table1[[#This Row],[Дневная ставка]]</f>
        <v>3.9426037373202782</v>
      </c>
      <c r="E301">
        <v>0</v>
      </c>
      <c r="F301" s="1">
        <f t="shared" si="13"/>
        <v>11159.371782976867</v>
      </c>
    </row>
    <row r="302" spans="1:6" x14ac:dyDescent="0.3">
      <c r="A302" s="3">
        <v>46355</v>
      </c>
      <c r="B302" s="1">
        <f t="shared" si="14"/>
        <v>11159.371782976867</v>
      </c>
      <c r="C302">
        <f t="shared" si="15"/>
        <v>3.5342465753424658E-4</v>
      </c>
      <c r="D302" s="1">
        <f>B302*Table1[[#This Row],[Дневная ставка]]</f>
        <v>3.9439971506959339</v>
      </c>
      <c r="E302">
        <v>0</v>
      </c>
      <c r="F302" s="1">
        <f t="shared" si="13"/>
        <v>11163.315780127563</v>
      </c>
    </row>
    <row r="303" spans="1:6" x14ac:dyDescent="0.3">
      <c r="A303" s="3">
        <v>46356</v>
      </c>
      <c r="B303" s="1">
        <f t="shared" si="14"/>
        <v>11163.315780127563</v>
      </c>
      <c r="C303">
        <f t="shared" si="15"/>
        <v>3.5342465753424658E-4</v>
      </c>
      <c r="D303" s="1">
        <f>B303*Table1[[#This Row],[Дневная ставка]]</f>
        <v>3.9453910565382349</v>
      </c>
      <c r="E303">
        <v>0</v>
      </c>
      <c r="F303" s="1">
        <f t="shared" si="13"/>
        <v>11167.261171184102</v>
      </c>
    </row>
    <row r="304" spans="1:6" x14ac:dyDescent="0.3">
      <c r="A304" s="3">
        <v>46357</v>
      </c>
      <c r="B304" s="1">
        <f t="shared" si="14"/>
        <v>11167.261171184102</v>
      </c>
      <c r="C304">
        <f t="shared" si="15"/>
        <v>3.5342465753424658E-4</v>
      </c>
      <c r="D304" s="1">
        <f>B304*Table1[[#This Row],[Дневная ставка]]</f>
        <v>3.9467854550212307</v>
      </c>
      <c r="E304">
        <v>0</v>
      </c>
      <c r="F304" s="1">
        <f t="shared" si="13"/>
        <v>11171.207956639124</v>
      </c>
    </row>
    <row r="305" spans="1:6" x14ac:dyDescent="0.3">
      <c r="A305" s="3">
        <v>46358</v>
      </c>
      <c r="B305" s="1">
        <f t="shared" si="14"/>
        <v>11171.207956639124</v>
      </c>
      <c r="C305">
        <f t="shared" si="15"/>
        <v>3.5342465753424658E-4</v>
      </c>
      <c r="D305" s="1">
        <f>B305*Table1[[#This Row],[Дневная ставка]]</f>
        <v>3.9481803463190328</v>
      </c>
      <c r="E305">
        <v>0</v>
      </c>
      <c r="F305" s="1">
        <f t="shared" si="13"/>
        <v>11175.156136985443</v>
      </c>
    </row>
    <row r="306" spans="1:6" x14ac:dyDescent="0.3">
      <c r="A306" s="3">
        <v>46359</v>
      </c>
      <c r="B306" s="1">
        <f t="shared" si="14"/>
        <v>11175.156136985443</v>
      </c>
      <c r="C306">
        <f t="shared" si="15"/>
        <v>3.5342465753424658E-4</v>
      </c>
      <c r="D306" s="1">
        <f>B306*Table1[[#This Row],[Дневная ставка]]</f>
        <v>3.9495757306058139</v>
      </c>
      <c r="E306">
        <v>0</v>
      </c>
      <c r="F306" s="1">
        <f t="shared" si="13"/>
        <v>11179.105712716047</v>
      </c>
    </row>
    <row r="307" spans="1:6" x14ac:dyDescent="0.3">
      <c r="A307" s="3">
        <v>46360</v>
      </c>
      <c r="B307" s="1">
        <f t="shared" si="14"/>
        <v>11179.105712716047</v>
      </c>
      <c r="C307">
        <f t="shared" si="15"/>
        <v>3.5342465753424658E-4</v>
      </c>
      <c r="D307" s="1">
        <f>B307*Table1[[#This Row],[Дневная ставка]]</f>
        <v>3.9509716080558088</v>
      </c>
      <c r="E307">
        <v>0</v>
      </c>
      <c r="F307" s="1">
        <f t="shared" si="13"/>
        <v>11183.056684324103</v>
      </c>
    </row>
    <row r="308" spans="1:6" x14ac:dyDescent="0.3">
      <c r="A308" s="3">
        <v>46361</v>
      </c>
      <c r="B308" s="1">
        <f t="shared" si="14"/>
        <v>11183.056684324103</v>
      </c>
      <c r="C308">
        <f t="shared" si="15"/>
        <v>3.5342465753424658E-4</v>
      </c>
      <c r="D308" s="1">
        <f>B308*Table1[[#This Row],[Дневная ставка]]</f>
        <v>3.9523679788433133</v>
      </c>
      <c r="E308">
        <v>0</v>
      </c>
      <c r="F308" s="1">
        <f t="shared" si="13"/>
        <v>11187.009052302947</v>
      </c>
    </row>
    <row r="309" spans="1:6" x14ac:dyDescent="0.3">
      <c r="A309" s="3">
        <v>46362</v>
      </c>
      <c r="B309" s="1">
        <f t="shared" si="14"/>
        <v>11187.009052302947</v>
      </c>
      <c r="C309">
        <f t="shared" si="15"/>
        <v>3.5342465753424658E-4</v>
      </c>
      <c r="D309" s="1">
        <f>B309*Table1[[#This Row],[Дневная ставка]]</f>
        <v>3.9537648431426855</v>
      </c>
      <c r="E309">
        <v>0</v>
      </c>
      <c r="F309" s="1">
        <f t="shared" si="13"/>
        <v>11190.96281714609</v>
      </c>
    </row>
    <row r="310" spans="1:6" x14ac:dyDescent="0.3">
      <c r="A310" s="3">
        <v>46363</v>
      </c>
      <c r="B310" s="1">
        <f t="shared" si="14"/>
        <v>11190.96281714609</v>
      </c>
      <c r="C310">
        <f t="shared" si="15"/>
        <v>3.5342465753424658E-4</v>
      </c>
      <c r="D310" s="1">
        <f>B310*Table1[[#This Row],[Дневная ставка]]</f>
        <v>3.9551622011283443</v>
      </c>
      <c r="E310">
        <v>0</v>
      </c>
      <c r="F310" s="1">
        <f t="shared" si="13"/>
        <v>11194.917979347218</v>
      </c>
    </row>
    <row r="311" spans="1:6" x14ac:dyDescent="0.3">
      <c r="A311" s="3">
        <v>46364</v>
      </c>
      <c r="B311" s="1">
        <f t="shared" si="14"/>
        <v>11194.917979347218</v>
      </c>
      <c r="C311">
        <f t="shared" si="15"/>
        <v>3.5342465753424658E-4</v>
      </c>
      <c r="D311" s="1">
        <f>B311*Table1[[#This Row],[Дневная ставка]]</f>
        <v>3.95656005297477</v>
      </c>
      <c r="E311">
        <v>0</v>
      </c>
      <c r="F311" s="1">
        <f t="shared" si="13"/>
        <v>11198.874539400193</v>
      </c>
    </row>
    <row r="312" spans="1:6" x14ac:dyDescent="0.3">
      <c r="A312" s="3">
        <v>46365</v>
      </c>
      <c r="B312" s="1">
        <f t="shared" si="14"/>
        <v>11198.874539400193</v>
      </c>
      <c r="C312">
        <f t="shared" si="15"/>
        <v>3.5342465753424658E-4</v>
      </c>
      <c r="D312" s="1">
        <f>B312*Table1[[#This Row],[Дневная ставка]]</f>
        <v>3.9579583988565066</v>
      </c>
      <c r="E312">
        <v>0</v>
      </c>
      <c r="F312" s="1">
        <f t="shared" si="13"/>
        <v>11202.832497799049</v>
      </c>
    </row>
    <row r="313" spans="1:6" x14ac:dyDescent="0.3">
      <c r="A313" s="3">
        <v>46366</v>
      </c>
      <c r="B313" s="1">
        <f t="shared" si="14"/>
        <v>11202.832497799049</v>
      </c>
      <c r="C313">
        <f t="shared" si="15"/>
        <v>3.5342465753424658E-4</v>
      </c>
      <c r="D313" s="1">
        <f>B313*Table1[[#This Row],[Дневная ставка]]</f>
        <v>3.9593572389481571</v>
      </c>
      <c r="E313">
        <v>0</v>
      </c>
      <c r="F313" s="1">
        <f t="shared" si="13"/>
        <v>11206.791855037996</v>
      </c>
    </row>
    <row r="314" spans="1:6" x14ac:dyDescent="0.3">
      <c r="A314" s="3">
        <v>46367</v>
      </c>
      <c r="B314" s="1">
        <f t="shared" si="14"/>
        <v>11206.791855037996</v>
      </c>
      <c r="C314">
        <f t="shared" si="15"/>
        <v>3.5342465753424658E-4</v>
      </c>
      <c r="D314" s="1">
        <f>B314*Table1[[#This Row],[Дневная ставка]]</f>
        <v>3.9607565734243879</v>
      </c>
      <c r="E314">
        <v>0</v>
      </c>
      <c r="F314" s="1">
        <f t="shared" si="13"/>
        <v>11210.75261161142</v>
      </c>
    </row>
    <row r="315" spans="1:6" x14ac:dyDescent="0.3">
      <c r="A315" s="3">
        <v>46368</v>
      </c>
      <c r="B315" s="1">
        <f t="shared" si="14"/>
        <v>11210.75261161142</v>
      </c>
      <c r="C315">
        <f t="shared" si="15"/>
        <v>3.5342465753424658E-4</v>
      </c>
      <c r="D315" s="1">
        <f>B315*Table1[[#This Row],[Дневная ставка]]</f>
        <v>3.962156402459927</v>
      </c>
      <c r="E315">
        <v>0</v>
      </c>
      <c r="F315" s="1">
        <f t="shared" si="13"/>
        <v>11214.714768013881</v>
      </c>
    </row>
    <row r="316" spans="1:6" x14ac:dyDescent="0.3">
      <c r="A316" s="3">
        <v>46369</v>
      </c>
      <c r="B316" s="1">
        <f t="shared" si="14"/>
        <v>11214.714768013881</v>
      </c>
      <c r="C316">
        <f t="shared" si="15"/>
        <v>3.5342465753424658E-4</v>
      </c>
      <c r="D316" s="1">
        <f>B316*Table1[[#This Row],[Дневная ставка]]</f>
        <v>3.9635567262295632</v>
      </c>
      <c r="E316">
        <v>0</v>
      </c>
      <c r="F316" s="1">
        <f t="shared" si="13"/>
        <v>11218.678324740111</v>
      </c>
    </row>
    <row r="317" spans="1:6" x14ac:dyDescent="0.3">
      <c r="A317" s="3">
        <v>46370</v>
      </c>
      <c r="B317" s="1">
        <f t="shared" si="14"/>
        <v>11218.678324740111</v>
      </c>
      <c r="C317">
        <f t="shared" si="15"/>
        <v>3.5342465753424658E-4</v>
      </c>
      <c r="D317" s="1">
        <f>B317*Table1[[#This Row],[Дневная ставка]]</f>
        <v>3.9649575449081489</v>
      </c>
      <c r="E317">
        <v>0</v>
      </c>
      <c r="F317" s="1">
        <f t="shared" si="13"/>
        <v>11222.643282285018</v>
      </c>
    </row>
    <row r="318" spans="1:6" x14ac:dyDescent="0.3">
      <c r="A318" s="3">
        <v>46371</v>
      </c>
      <c r="B318" s="1">
        <f t="shared" si="14"/>
        <v>11222.643282285018</v>
      </c>
      <c r="C318">
        <f t="shared" si="15"/>
        <v>3.5342465753424658E-4</v>
      </c>
      <c r="D318" s="1">
        <f>B318*Table1[[#This Row],[Дневная ставка]]</f>
        <v>3.9663588586705956</v>
      </c>
      <c r="E318">
        <v>0</v>
      </c>
      <c r="F318" s="1">
        <f t="shared" si="13"/>
        <v>11226.609641143688</v>
      </c>
    </row>
    <row r="319" spans="1:6" x14ac:dyDescent="0.3">
      <c r="A319" s="3">
        <v>46372</v>
      </c>
      <c r="B319" s="1">
        <f t="shared" si="14"/>
        <v>11226.609641143688</v>
      </c>
      <c r="C319">
        <f t="shared" si="15"/>
        <v>3.5342465753424658E-4</v>
      </c>
      <c r="D319" s="1">
        <f>B319*Table1[[#This Row],[Дневная ставка]]</f>
        <v>3.9677606676918789</v>
      </c>
      <c r="E319">
        <v>0</v>
      </c>
      <c r="F319" s="1">
        <f t="shared" si="13"/>
        <v>11230.577401811381</v>
      </c>
    </row>
    <row r="320" spans="1:6" x14ac:dyDescent="0.3">
      <c r="A320" s="3">
        <v>46373</v>
      </c>
      <c r="B320" s="1">
        <f t="shared" si="14"/>
        <v>11230.577401811381</v>
      </c>
      <c r="C320">
        <f t="shared" si="15"/>
        <v>3.5342465753424658E-4</v>
      </c>
      <c r="D320" s="1">
        <f>B320*Table1[[#This Row],[Дневная ставка]]</f>
        <v>3.9691629721470361</v>
      </c>
      <c r="E320">
        <v>0</v>
      </c>
      <c r="F320" s="1">
        <f t="shared" si="13"/>
        <v>11234.546564783528</v>
      </c>
    </row>
    <row r="321" spans="1:6" x14ac:dyDescent="0.3">
      <c r="A321" s="3">
        <v>46374</v>
      </c>
      <c r="B321" s="1">
        <f t="shared" si="14"/>
        <v>11234.546564783528</v>
      </c>
      <c r="C321">
        <f t="shared" si="15"/>
        <v>3.5342465753424658E-4</v>
      </c>
      <c r="D321" s="1">
        <f>B321*Table1[[#This Row],[Дневная ставка]]</f>
        <v>3.9705657722111649</v>
      </c>
      <c r="E321">
        <v>0</v>
      </c>
      <c r="F321" s="1">
        <f t="shared" si="13"/>
        <v>11238.51713055574</v>
      </c>
    </row>
    <row r="322" spans="1:6" x14ac:dyDescent="0.3">
      <c r="A322" s="3">
        <v>46375</v>
      </c>
      <c r="B322" s="1">
        <f t="shared" si="14"/>
        <v>11238.51713055574</v>
      </c>
      <c r="C322">
        <f t="shared" si="15"/>
        <v>3.5342465753424658E-4</v>
      </c>
      <c r="D322" s="1">
        <f>B322*Table1[[#This Row],[Дневная ставка]]</f>
        <v>3.9719690680594257</v>
      </c>
      <c r="E322">
        <v>650.05999999999995</v>
      </c>
      <c r="F322" s="1">
        <f t="shared" si="13"/>
        <v>10592.4290996238</v>
      </c>
    </row>
    <row r="323" spans="1:6" x14ac:dyDescent="0.3">
      <c r="A323" s="3">
        <v>46376</v>
      </c>
      <c r="B323" s="1">
        <f t="shared" si="14"/>
        <v>10592.4290996238</v>
      </c>
      <c r="C323">
        <f t="shared" si="15"/>
        <v>3.5342465753424658E-4</v>
      </c>
      <c r="D323" s="1">
        <f>B323*Table1[[#This Row],[Дневная ставка]]</f>
        <v>3.7436256269903292</v>
      </c>
      <c r="E323">
        <v>0</v>
      </c>
      <c r="F323" s="1">
        <f t="shared" ref="F323:F386" si="16">B323+D323-E323</f>
        <v>10596.17272525079</v>
      </c>
    </row>
    <row r="324" spans="1:6" x14ac:dyDescent="0.3">
      <c r="A324" s="3">
        <v>46377</v>
      </c>
      <c r="B324" s="1">
        <f t="shared" ref="B324:B387" si="17">F323</f>
        <v>10596.17272525079</v>
      </c>
      <c r="C324">
        <f t="shared" si="15"/>
        <v>3.5342465753424658E-4</v>
      </c>
      <c r="D324" s="1">
        <f>B324*Table1[[#This Row],[Дневная ставка]]</f>
        <v>3.7449487165954847</v>
      </c>
      <c r="E324">
        <v>0</v>
      </c>
      <c r="F324" s="1">
        <f t="shared" si="16"/>
        <v>10599.917673967386</v>
      </c>
    </row>
    <row r="325" spans="1:6" x14ac:dyDescent="0.3">
      <c r="A325" s="3">
        <v>46378</v>
      </c>
      <c r="B325" s="1">
        <f t="shared" si="17"/>
        <v>10599.917673967386</v>
      </c>
      <c r="C325">
        <f t="shared" si="15"/>
        <v>3.5342465753424658E-4</v>
      </c>
      <c r="D325" s="1">
        <f>B325*Table1[[#This Row],[Дневная ставка]]</f>
        <v>3.7462722738131311</v>
      </c>
      <c r="E325">
        <v>0</v>
      </c>
      <c r="F325" s="1">
        <f t="shared" si="16"/>
        <v>10603.663946241199</v>
      </c>
    </row>
    <row r="326" spans="1:6" x14ac:dyDescent="0.3">
      <c r="A326" s="3">
        <v>46379</v>
      </c>
      <c r="B326" s="1">
        <f t="shared" si="17"/>
        <v>10603.663946241199</v>
      </c>
      <c r="C326">
        <f t="shared" si="15"/>
        <v>3.5342465753424658E-4</v>
      </c>
      <c r="D326" s="1">
        <f>B326*Table1[[#This Row],[Дневная ставка]]</f>
        <v>3.7475962988085332</v>
      </c>
      <c r="E326">
        <v>0</v>
      </c>
      <c r="F326" s="1">
        <f t="shared" si="16"/>
        <v>10607.411542540007</v>
      </c>
    </row>
    <row r="327" spans="1:6" x14ac:dyDescent="0.3">
      <c r="A327" s="3">
        <v>46380</v>
      </c>
      <c r="B327" s="1">
        <f t="shared" si="17"/>
        <v>10607.411542540007</v>
      </c>
      <c r="C327">
        <f t="shared" si="15"/>
        <v>3.5342465753424658E-4</v>
      </c>
      <c r="D327" s="1">
        <f>B327*Table1[[#This Row],[Дневная ставка]]</f>
        <v>3.7489207917470164</v>
      </c>
      <c r="E327">
        <v>0</v>
      </c>
      <c r="F327" s="1">
        <f t="shared" si="16"/>
        <v>10611.160463331755</v>
      </c>
    </row>
    <row r="328" spans="1:6" x14ac:dyDescent="0.3">
      <c r="A328" s="3">
        <v>46381</v>
      </c>
      <c r="B328" s="1">
        <f t="shared" si="17"/>
        <v>10611.160463331755</v>
      </c>
      <c r="C328">
        <f t="shared" si="15"/>
        <v>3.5342465753424658E-4</v>
      </c>
      <c r="D328" s="1">
        <f>B328*Table1[[#This Row],[Дневная ставка]]</f>
        <v>3.7502457527939628</v>
      </c>
      <c r="E328">
        <v>0</v>
      </c>
      <c r="F328" s="1">
        <f t="shared" si="16"/>
        <v>10614.910709084548</v>
      </c>
    </row>
    <row r="329" spans="1:6" x14ac:dyDescent="0.3">
      <c r="A329" s="3">
        <v>46382</v>
      </c>
      <c r="B329" s="1">
        <f t="shared" si="17"/>
        <v>10614.910709084548</v>
      </c>
      <c r="C329">
        <f t="shared" si="15"/>
        <v>3.5342465753424658E-4</v>
      </c>
      <c r="D329" s="1">
        <f>B329*Table1[[#This Row],[Дневная ставка]]</f>
        <v>3.7515711821148132</v>
      </c>
      <c r="E329">
        <v>0</v>
      </c>
      <c r="F329" s="1">
        <f t="shared" si="16"/>
        <v>10618.662280266662</v>
      </c>
    </row>
    <row r="330" spans="1:6" x14ac:dyDescent="0.3">
      <c r="A330" s="3">
        <v>46383</v>
      </c>
      <c r="B330" s="1">
        <f t="shared" si="17"/>
        <v>10618.662280266662</v>
      </c>
      <c r="C330">
        <f t="shared" si="15"/>
        <v>3.5342465753424658E-4</v>
      </c>
      <c r="D330" s="1">
        <f>B330*Table1[[#This Row],[Дневная ставка]]</f>
        <v>3.7528970798750669</v>
      </c>
      <c r="E330">
        <v>0</v>
      </c>
      <c r="F330" s="1">
        <f t="shared" si="16"/>
        <v>10622.415177346538</v>
      </c>
    </row>
    <row r="331" spans="1:6" x14ac:dyDescent="0.3">
      <c r="A331" s="3">
        <v>46384</v>
      </c>
      <c r="B331" s="1">
        <f t="shared" si="17"/>
        <v>10622.415177346538</v>
      </c>
      <c r="C331">
        <f t="shared" si="15"/>
        <v>3.5342465753424658E-4</v>
      </c>
      <c r="D331" s="1">
        <f>B331*Table1[[#This Row],[Дневная ставка]]</f>
        <v>3.7542234462402835</v>
      </c>
      <c r="E331">
        <v>0</v>
      </c>
      <c r="F331" s="1">
        <f t="shared" si="16"/>
        <v>10626.169400792778</v>
      </c>
    </row>
    <row r="332" spans="1:6" x14ac:dyDescent="0.3">
      <c r="A332" s="3">
        <v>46385</v>
      </c>
      <c r="B332" s="1">
        <f t="shared" si="17"/>
        <v>10626.169400792778</v>
      </c>
      <c r="C332">
        <f t="shared" si="15"/>
        <v>3.5342465753424658E-4</v>
      </c>
      <c r="D332" s="1">
        <f>B332*Table1[[#This Row],[Дневная ставка]]</f>
        <v>3.7555502813760779</v>
      </c>
      <c r="E332">
        <v>0</v>
      </c>
      <c r="F332" s="1">
        <f t="shared" si="16"/>
        <v>10629.924951074154</v>
      </c>
    </row>
    <row r="333" spans="1:6" x14ac:dyDescent="0.3">
      <c r="A333" s="3">
        <v>46386</v>
      </c>
      <c r="B333" s="1">
        <f t="shared" si="17"/>
        <v>10629.924951074154</v>
      </c>
      <c r="C333">
        <f t="shared" si="15"/>
        <v>3.5342465753424658E-4</v>
      </c>
      <c r="D333" s="1">
        <f>B333*Table1[[#This Row],[Дневная ставка]]</f>
        <v>3.7568775854481258</v>
      </c>
      <c r="E333">
        <v>0</v>
      </c>
      <c r="F333" s="1">
        <f t="shared" si="16"/>
        <v>10633.681828659603</v>
      </c>
    </row>
    <row r="334" spans="1:6" x14ac:dyDescent="0.3">
      <c r="A334" s="3">
        <v>46387</v>
      </c>
      <c r="B334" s="1">
        <f t="shared" si="17"/>
        <v>10633.681828659603</v>
      </c>
      <c r="C334">
        <f t="shared" si="15"/>
        <v>3.5342465753424658E-4</v>
      </c>
      <c r="D334" s="1">
        <f>B334*Table1[[#This Row],[Дневная ставка]]</f>
        <v>3.7582053586221611</v>
      </c>
      <c r="E334">
        <v>0</v>
      </c>
      <c r="F334" s="1">
        <f t="shared" si="16"/>
        <v>10637.440034018226</v>
      </c>
    </row>
    <row r="335" spans="1:6" x14ac:dyDescent="0.3">
      <c r="A335" s="3">
        <v>46388</v>
      </c>
      <c r="B335" s="1">
        <f t="shared" si="17"/>
        <v>10637.440034018226</v>
      </c>
      <c r="C335">
        <f t="shared" si="15"/>
        <v>3.5342465753424658E-4</v>
      </c>
      <c r="D335" s="1">
        <f>B335*Table1[[#This Row],[Дневная ставка]]</f>
        <v>3.7595336010639757</v>
      </c>
      <c r="E335">
        <v>0</v>
      </c>
      <c r="F335" s="1">
        <f t="shared" si="16"/>
        <v>10641.199567619289</v>
      </c>
    </row>
    <row r="336" spans="1:6" x14ac:dyDescent="0.3">
      <c r="A336" s="3">
        <v>46389</v>
      </c>
      <c r="B336" s="1">
        <f t="shared" si="17"/>
        <v>10641.199567619289</v>
      </c>
      <c r="C336">
        <f t="shared" si="15"/>
        <v>3.5342465753424658E-4</v>
      </c>
      <c r="D336" s="1">
        <f>B336*Table1[[#This Row],[Дневная ставка]]</f>
        <v>3.7608623129394201</v>
      </c>
      <c r="E336">
        <v>0</v>
      </c>
      <c r="F336" s="1">
        <f t="shared" si="16"/>
        <v>10644.960429932229</v>
      </c>
    </row>
    <row r="337" spans="1:6" x14ac:dyDescent="0.3">
      <c r="A337" s="3">
        <v>46390</v>
      </c>
      <c r="B337" s="1">
        <f t="shared" si="17"/>
        <v>10644.960429932229</v>
      </c>
      <c r="C337">
        <f t="shared" si="15"/>
        <v>3.5342465753424658E-4</v>
      </c>
      <c r="D337" s="1">
        <f>B337*Table1[[#This Row],[Дневная ставка]]</f>
        <v>3.7621914944144041</v>
      </c>
      <c r="E337">
        <v>0</v>
      </c>
      <c r="F337" s="1">
        <f t="shared" si="16"/>
        <v>10648.722621426643</v>
      </c>
    </row>
    <row r="338" spans="1:6" x14ac:dyDescent="0.3">
      <c r="A338" s="3">
        <v>46391</v>
      </c>
      <c r="B338" s="1">
        <f t="shared" si="17"/>
        <v>10648.722621426643</v>
      </c>
      <c r="C338">
        <f t="shared" si="15"/>
        <v>3.5342465753424658E-4</v>
      </c>
      <c r="D338" s="1">
        <f>B338*Table1[[#This Row],[Дневная ставка]]</f>
        <v>3.7635211456548956</v>
      </c>
      <c r="E338">
        <v>0</v>
      </c>
      <c r="F338" s="1">
        <f t="shared" si="16"/>
        <v>10652.486142572297</v>
      </c>
    </row>
    <row r="339" spans="1:6" x14ac:dyDescent="0.3">
      <c r="A339" s="3">
        <v>46392</v>
      </c>
      <c r="B339" s="1">
        <f t="shared" si="17"/>
        <v>10652.486142572297</v>
      </c>
      <c r="C339">
        <f t="shared" si="15"/>
        <v>3.5342465753424658E-4</v>
      </c>
      <c r="D339" s="1">
        <f>B339*Table1[[#This Row],[Дневная ставка]]</f>
        <v>3.7648512668269216</v>
      </c>
      <c r="E339">
        <v>0</v>
      </c>
      <c r="F339" s="1">
        <f t="shared" si="16"/>
        <v>10656.250993839125</v>
      </c>
    </row>
    <row r="340" spans="1:6" x14ac:dyDescent="0.3">
      <c r="A340" s="3">
        <v>46393</v>
      </c>
      <c r="B340" s="1">
        <f t="shared" si="17"/>
        <v>10656.250993839125</v>
      </c>
      <c r="C340">
        <f t="shared" ref="C340:C403" si="18">(12.9%/365)</f>
        <v>3.5342465753424658E-4</v>
      </c>
      <c r="D340" s="1">
        <f>B340*Table1[[#This Row],[Дневная ставка]]</f>
        <v>3.7661818580965676</v>
      </c>
      <c r="E340">
        <v>0</v>
      </c>
      <c r="F340" s="1">
        <f t="shared" si="16"/>
        <v>10660.017175697221</v>
      </c>
    </row>
    <row r="341" spans="1:6" x14ac:dyDescent="0.3">
      <c r="A341" s="3">
        <v>46394</v>
      </c>
      <c r="B341" s="1">
        <f t="shared" si="17"/>
        <v>10660.017175697221</v>
      </c>
      <c r="C341">
        <f t="shared" si="18"/>
        <v>3.5342465753424658E-4</v>
      </c>
      <c r="D341" s="1">
        <f>B341*Table1[[#This Row],[Дневная ставка]]</f>
        <v>3.767512919629977</v>
      </c>
      <c r="E341">
        <v>0</v>
      </c>
      <c r="F341" s="1">
        <f t="shared" si="16"/>
        <v>10663.784688616852</v>
      </c>
    </row>
    <row r="342" spans="1:6" x14ac:dyDescent="0.3">
      <c r="A342" s="3">
        <v>46395</v>
      </c>
      <c r="B342" s="1">
        <f t="shared" si="17"/>
        <v>10663.784688616852</v>
      </c>
      <c r="C342">
        <f t="shared" si="18"/>
        <v>3.5342465753424658E-4</v>
      </c>
      <c r="D342" s="1">
        <f>B342*Table1[[#This Row],[Дневная ставка]]</f>
        <v>3.768844451593353</v>
      </c>
      <c r="E342">
        <v>0</v>
      </c>
      <c r="F342" s="1">
        <f t="shared" si="16"/>
        <v>10667.553533068445</v>
      </c>
    </row>
    <row r="343" spans="1:6" x14ac:dyDescent="0.3">
      <c r="A343" s="3">
        <v>46396</v>
      </c>
      <c r="B343" s="1">
        <f t="shared" si="17"/>
        <v>10667.553533068445</v>
      </c>
      <c r="C343">
        <f t="shared" si="18"/>
        <v>3.5342465753424658E-4</v>
      </c>
      <c r="D343" s="1">
        <f>B343*Table1[[#This Row],[Дневная ставка]]</f>
        <v>3.7701764541529572</v>
      </c>
      <c r="E343">
        <v>0</v>
      </c>
      <c r="F343" s="1">
        <f t="shared" si="16"/>
        <v>10671.323709522598</v>
      </c>
    </row>
    <row r="344" spans="1:6" x14ac:dyDescent="0.3">
      <c r="A344" s="3">
        <v>46397</v>
      </c>
      <c r="B344" s="1">
        <f t="shared" si="17"/>
        <v>10671.323709522598</v>
      </c>
      <c r="C344">
        <f t="shared" si="18"/>
        <v>3.5342465753424658E-4</v>
      </c>
      <c r="D344" s="1">
        <f>B344*Table1[[#This Row],[Дневная ставка]]</f>
        <v>3.7715089274751099</v>
      </c>
      <c r="E344">
        <v>0</v>
      </c>
      <c r="F344" s="1">
        <f t="shared" si="16"/>
        <v>10675.095218450073</v>
      </c>
    </row>
    <row r="345" spans="1:6" x14ac:dyDescent="0.3">
      <c r="A345" s="3">
        <v>46398</v>
      </c>
      <c r="B345" s="1">
        <f t="shared" si="17"/>
        <v>10675.095218450073</v>
      </c>
      <c r="C345">
        <f t="shared" si="18"/>
        <v>3.5342465753424658E-4</v>
      </c>
      <c r="D345" s="1">
        <f>B345*Table1[[#This Row],[Дневная ставка]]</f>
        <v>3.7728418717261905</v>
      </c>
      <c r="E345">
        <v>0</v>
      </c>
      <c r="F345" s="1">
        <f t="shared" si="16"/>
        <v>10678.8680603218</v>
      </c>
    </row>
    <row r="346" spans="1:6" x14ac:dyDescent="0.3">
      <c r="A346" s="3">
        <v>46399</v>
      </c>
      <c r="B346" s="1">
        <f t="shared" si="17"/>
        <v>10678.8680603218</v>
      </c>
      <c r="C346">
        <f t="shared" si="18"/>
        <v>3.5342465753424658E-4</v>
      </c>
      <c r="D346" s="1">
        <f>B346*Table1[[#This Row],[Дневная ставка]]</f>
        <v>3.7741752870726364</v>
      </c>
      <c r="E346">
        <v>0</v>
      </c>
      <c r="F346" s="1">
        <f t="shared" si="16"/>
        <v>10682.642235608873</v>
      </c>
    </row>
    <row r="347" spans="1:6" x14ac:dyDescent="0.3">
      <c r="A347" s="3">
        <v>46400</v>
      </c>
      <c r="B347" s="1">
        <f t="shared" si="17"/>
        <v>10682.642235608873</v>
      </c>
      <c r="C347">
        <f t="shared" si="18"/>
        <v>3.5342465753424658E-4</v>
      </c>
      <c r="D347" s="1">
        <f>B347*Table1[[#This Row],[Дневная ставка]]</f>
        <v>3.7755091736809443</v>
      </c>
      <c r="E347">
        <v>0</v>
      </c>
      <c r="F347" s="1">
        <f t="shared" si="16"/>
        <v>10686.417744782555</v>
      </c>
    </row>
    <row r="348" spans="1:6" x14ac:dyDescent="0.3">
      <c r="A348" s="3">
        <v>46401</v>
      </c>
      <c r="B348" s="1">
        <f t="shared" si="17"/>
        <v>10686.417744782555</v>
      </c>
      <c r="C348">
        <f t="shared" si="18"/>
        <v>3.5342465753424658E-4</v>
      </c>
      <c r="D348" s="1">
        <f>B348*Table1[[#This Row],[Дневная ставка]]</f>
        <v>3.7768435317176703</v>
      </c>
      <c r="E348">
        <v>0</v>
      </c>
      <c r="F348" s="1">
        <f t="shared" si="16"/>
        <v>10690.194588314273</v>
      </c>
    </row>
    <row r="349" spans="1:6" x14ac:dyDescent="0.3">
      <c r="A349" s="3">
        <v>46402</v>
      </c>
      <c r="B349" s="1">
        <f t="shared" si="17"/>
        <v>10690.194588314273</v>
      </c>
      <c r="C349">
        <f t="shared" si="18"/>
        <v>3.5342465753424658E-4</v>
      </c>
      <c r="D349" s="1">
        <f>B349*Table1[[#This Row],[Дневная ставка]]</f>
        <v>3.7781783613494277</v>
      </c>
      <c r="E349">
        <v>0</v>
      </c>
      <c r="F349" s="1">
        <f t="shared" si="16"/>
        <v>10693.972766675623</v>
      </c>
    </row>
    <row r="350" spans="1:6" x14ac:dyDescent="0.3">
      <c r="A350" s="3">
        <v>46403</v>
      </c>
      <c r="B350" s="1">
        <f t="shared" si="17"/>
        <v>10693.972766675623</v>
      </c>
      <c r="C350">
        <f t="shared" si="18"/>
        <v>3.5342465753424658E-4</v>
      </c>
      <c r="D350" s="1">
        <f>B350*Table1[[#This Row],[Дневная ставка]]</f>
        <v>3.7795136627428914</v>
      </c>
      <c r="E350">
        <v>0</v>
      </c>
      <c r="F350" s="1">
        <f t="shared" si="16"/>
        <v>10697.752280338365</v>
      </c>
    </row>
    <row r="351" spans="1:6" x14ac:dyDescent="0.3">
      <c r="A351" s="3">
        <v>46404</v>
      </c>
      <c r="B351" s="1">
        <f t="shared" si="17"/>
        <v>10697.752280338365</v>
      </c>
      <c r="C351">
        <f t="shared" si="18"/>
        <v>3.5342465753424658E-4</v>
      </c>
      <c r="D351" s="1">
        <f>B351*Table1[[#This Row],[Дневная ставка]]</f>
        <v>3.7808494360647922</v>
      </c>
      <c r="E351">
        <v>0</v>
      </c>
      <c r="F351" s="1">
        <f t="shared" si="16"/>
        <v>10701.533129774431</v>
      </c>
    </row>
    <row r="352" spans="1:6" x14ac:dyDescent="0.3">
      <c r="A352" s="3">
        <v>46405</v>
      </c>
      <c r="B352" s="1">
        <f t="shared" si="17"/>
        <v>10701.533129774431</v>
      </c>
      <c r="C352">
        <f t="shared" si="18"/>
        <v>3.5342465753424658E-4</v>
      </c>
      <c r="D352" s="1">
        <f>B352*Table1[[#This Row],[Дневная ставка]]</f>
        <v>3.7821856814819221</v>
      </c>
      <c r="E352">
        <v>0</v>
      </c>
      <c r="F352" s="1">
        <f t="shared" si="16"/>
        <v>10705.315315455913</v>
      </c>
    </row>
    <row r="353" spans="1:6" x14ac:dyDescent="0.3">
      <c r="A353" s="3">
        <v>46406</v>
      </c>
      <c r="B353" s="1">
        <f t="shared" si="17"/>
        <v>10705.315315455913</v>
      </c>
      <c r="C353">
        <f t="shared" si="18"/>
        <v>3.5342465753424658E-4</v>
      </c>
      <c r="D353" s="1">
        <f>B353*Table1[[#This Row],[Дневная ставка]]</f>
        <v>3.7835223991611309</v>
      </c>
      <c r="E353">
        <v>650.05999999999995</v>
      </c>
      <c r="F353" s="1">
        <f t="shared" si="16"/>
        <v>10059.038837855074</v>
      </c>
    </row>
    <row r="354" spans="1:6" x14ac:dyDescent="0.3">
      <c r="A354" s="3">
        <v>46407</v>
      </c>
      <c r="B354" s="1">
        <f t="shared" si="17"/>
        <v>10059.038837855074</v>
      </c>
      <c r="C354">
        <f t="shared" si="18"/>
        <v>3.5342465753424658E-4</v>
      </c>
      <c r="D354" s="1">
        <f>B354*Table1[[#This Row],[Дневная ставка]]</f>
        <v>3.5551123563926152</v>
      </c>
      <c r="E354">
        <v>0</v>
      </c>
      <c r="F354" s="1">
        <f t="shared" si="16"/>
        <v>10062.593950211467</v>
      </c>
    </row>
    <row r="355" spans="1:6" x14ac:dyDescent="0.3">
      <c r="A355" s="3">
        <v>46408</v>
      </c>
      <c r="B355" s="1">
        <f t="shared" si="17"/>
        <v>10062.593950211467</v>
      </c>
      <c r="C355">
        <f t="shared" si="18"/>
        <v>3.5342465753424658E-4</v>
      </c>
      <c r="D355" s="1">
        <f>B355*Table1[[#This Row],[Дневная ставка]]</f>
        <v>3.5563688207596691</v>
      </c>
      <c r="E355">
        <v>0</v>
      </c>
      <c r="F355" s="1">
        <f t="shared" si="16"/>
        <v>10066.150319032227</v>
      </c>
    </row>
    <row r="356" spans="1:6" x14ac:dyDescent="0.3">
      <c r="A356" s="3">
        <v>46409</v>
      </c>
      <c r="B356" s="1">
        <f t="shared" si="17"/>
        <v>10066.150319032227</v>
      </c>
      <c r="C356">
        <f t="shared" si="18"/>
        <v>3.5342465753424658E-4</v>
      </c>
      <c r="D356" s="1">
        <f>B356*Table1[[#This Row],[Дневная ставка]]</f>
        <v>3.5576257291922118</v>
      </c>
      <c r="E356">
        <v>0</v>
      </c>
      <c r="F356" s="1">
        <f t="shared" si="16"/>
        <v>10069.70794476142</v>
      </c>
    </row>
    <row r="357" spans="1:6" x14ac:dyDescent="0.3">
      <c r="A357" s="3">
        <v>46410</v>
      </c>
      <c r="B357" s="1">
        <f t="shared" si="17"/>
        <v>10069.70794476142</v>
      </c>
      <c r="C357">
        <f t="shared" si="18"/>
        <v>3.5342465753424658E-4</v>
      </c>
      <c r="D357" s="1">
        <f>B357*Table1[[#This Row],[Дневная ставка]]</f>
        <v>3.5588830818471866</v>
      </c>
      <c r="E357">
        <v>0</v>
      </c>
      <c r="F357" s="1">
        <f t="shared" si="16"/>
        <v>10073.266827843267</v>
      </c>
    </row>
    <row r="358" spans="1:6" x14ac:dyDescent="0.3">
      <c r="A358" s="3">
        <v>46411</v>
      </c>
      <c r="B358" s="1">
        <f t="shared" si="17"/>
        <v>10073.266827843267</v>
      </c>
      <c r="C358">
        <f t="shared" si="18"/>
        <v>3.5342465753424658E-4</v>
      </c>
      <c r="D358" s="1">
        <f>B358*Table1[[#This Row],[Дневная ставка]]</f>
        <v>3.5601408788815929</v>
      </c>
      <c r="E358">
        <v>0</v>
      </c>
      <c r="F358" s="1">
        <f t="shared" si="16"/>
        <v>10076.826968722147</v>
      </c>
    </row>
    <row r="359" spans="1:6" x14ac:dyDescent="0.3">
      <c r="A359" s="3">
        <v>46412</v>
      </c>
      <c r="B359" s="1">
        <f t="shared" si="17"/>
        <v>10076.826968722147</v>
      </c>
      <c r="C359">
        <f t="shared" si="18"/>
        <v>3.5342465753424658E-4</v>
      </c>
      <c r="D359" s="1">
        <f>B359*Table1[[#This Row],[Дневная ставка]]</f>
        <v>3.5613991204524851</v>
      </c>
      <c r="E359">
        <v>0</v>
      </c>
      <c r="F359" s="1">
        <f t="shared" si="16"/>
        <v>10080.388367842599</v>
      </c>
    </row>
    <row r="360" spans="1:6" x14ac:dyDescent="0.3">
      <c r="A360" s="3">
        <v>46413</v>
      </c>
      <c r="B360" s="1">
        <f t="shared" si="17"/>
        <v>10080.388367842599</v>
      </c>
      <c r="C360">
        <f t="shared" si="18"/>
        <v>3.5342465753424658E-4</v>
      </c>
      <c r="D360" s="1">
        <f>B360*Table1[[#This Row],[Дневная ставка]]</f>
        <v>3.5626578067169734</v>
      </c>
      <c r="E360">
        <v>0</v>
      </c>
      <c r="F360" s="1">
        <f t="shared" si="16"/>
        <v>10083.951025649316</v>
      </c>
    </row>
    <row r="361" spans="1:6" x14ac:dyDescent="0.3">
      <c r="A361" s="3">
        <v>46414</v>
      </c>
      <c r="B361" s="1">
        <f t="shared" si="17"/>
        <v>10083.951025649316</v>
      </c>
      <c r="C361">
        <f t="shared" si="18"/>
        <v>3.5342465753424658E-4</v>
      </c>
      <c r="D361" s="1">
        <f>B361*Table1[[#This Row],[Дневная ставка]]</f>
        <v>3.5639169378322242</v>
      </c>
      <c r="E361">
        <v>0</v>
      </c>
      <c r="F361" s="1">
        <f t="shared" si="16"/>
        <v>10087.514942587148</v>
      </c>
    </row>
    <row r="362" spans="1:6" x14ac:dyDescent="0.3">
      <c r="A362" s="3">
        <v>46415</v>
      </c>
      <c r="B362" s="1">
        <f t="shared" si="17"/>
        <v>10087.514942587148</v>
      </c>
      <c r="C362">
        <f t="shared" si="18"/>
        <v>3.5342465753424658E-4</v>
      </c>
      <c r="D362" s="1">
        <f>B362*Table1[[#This Row],[Дневная ставка]]</f>
        <v>3.5651765139554579</v>
      </c>
      <c r="E362">
        <v>0</v>
      </c>
      <c r="F362" s="1">
        <f t="shared" si="16"/>
        <v>10091.080119101103</v>
      </c>
    </row>
    <row r="363" spans="1:6" x14ac:dyDescent="0.3">
      <c r="A363" s="3">
        <v>46416</v>
      </c>
      <c r="B363" s="1">
        <f t="shared" si="17"/>
        <v>10091.080119101103</v>
      </c>
      <c r="C363">
        <f t="shared" si="18"/>
        <v>3.5342465753424658E-4</v>
      </c>
      <c r="D363" s="1">
        <f>B363*Table1[[#This Row],[Дневная ставка]]</f>
        <v>3.5664365352439518</v>
      </c>
      <c r="E363">
        <v>0</v>
      </c>
      <c r="F363" s="1">
        <f t="shared" si="16"/>
        <v>10094.646555636347</v>
      </c>
    </row>
    <row r="364" spans="1:6" x14ac:dyDescent="0.3">
      <c r="A364" s="3">
        <v>46417</v>
      </c>
      <c r="B364" s="1">
        <f t="shared" si="17"/>
        <v>10094.646555636347</v>
      </c>
      <c r="C364">
        <f t="shared" si="18"/>
        <v>3.5342465753424658E-4</v>
      </c>
      <c r="D364" s="1">
        <f>B364*Table1[[#This Row],[Дневная ставка]]</f>
        <v>3.5676970018550378</v>
      </c>
      <c r="E364">
        <v>0</v>
      </c>
      <c r="F364" s="1">
        <f t="shared" si="16"/>
        <v>10098.214252638203</v>
      </c>
    </row>
    <row r="365" spans="1:6" x14ac:dyDescent="0.3">
      <c r="A365" s="3">
        <v>46418</v>
      </c>
      <c r="B365" s="1">
        <f t="shared" si="17"/>
        <v>10098.214252638203</v>
      </c>
      <c r="C365">
        <f t="shared" si="18"/>
        <v>3.5342465753424658E-4</v>
      </c>
      <c r="D365" s="1">
        <f>B365*Table1[[#This Row],[Дневная ставка]]</f>
        <v>3.5689579139461047</v>
      </c>
      <c r="E365">
        <v>0</v>
      </c>
      <c r="F365" s="1">
        <f t="shared" si="16"/>
        <v>10101.783210552148</v>
      </c>
    </row>
    <row r="366" spans="1:6" x14ac:dyDescent="0.3">
      <c r="A366" s="3">
        <v>46419</v>
      </c>
      <c r="B366" s="1">
        <f t="shared" si="17"/>
        <v>10101.783210552148</v>
      </c>
      <c r="C366">
        <f t="shared" si="18"/>
        <v>3.5342465753424658E-4</v>
      </c>
      <c r="D366" s="1">
        <f>B366*Table1[[#This Row],[Дневная ставка]]</f>
        <v>3.5702192716745951</v>
      </c>
      <c r="E366">
        <v>0</v>
      </c>
      <c r="F366" s="1">
        <f t="shared" si="16"/>
        <v>10105.353429823823</v>
      </c>
    </row>
    <row r="367" spans="1:6" x14ac:dyDescent="0.3">
      <c r="A367" s="3">
        <v>46420</v>
      </c>
      <c r="B367" s="1">
        <f t="shared" si="17"/>
        <v>10105.353429823823</v>
      </c>
      <c r="C367">
        <f t="shared" si="18"/>
        <v>3.5342465753424658E-4</v>
      </c>
      <c r="D367" s="1">
        <f>B367*Table1[[#This Row],[Дневная ставка]]</f>
        <v>3.5714810751980086</v>
      </c>
      <c r="E367">
        <v>0</v>
      </c>
      <c r="F367" s="1">
        <f t="shared" si="16"/>
        <v>10108.924910899021</v>
      </c>
    </row>
    <row r="368" spans="1:6" x14ac:dyDescent="0.3">
      <c r="A368" s="3">
        <v>46421</v>
      </c>
      <c r="B368" s="1">
        <f t="shared" si="17"/>
        <v>10108.924910899021</v>
      </c>
      <c r="C368">
        <f t="shared" si="18"/>
        <v>3.5342465753424658E-4</v>
      </c>
      <c r="D368" s="1">
        <f>B368*Table1[[#This Row],[Дневная ставка]]</f>
        <v>3.5727433246739007</v>
      </c>
      <c r="E368">
        <v>0</v>
      </c>
      <c r="F368" s="1">
        <f t="shared" si="16"/>
        <v>10112.497654223695</v>
      </c>
    </row>
    <row r="369" spans="1:6" x14ac:dyDescent="0.3">
      <c r="A369" s="3">
        <v>46422</v>
      </c>
      <c r="B369" s="1">
        <f t="shared" si="17"/>
        <v>10112.497654223695</v>
      </c>
      <c r="C369">
        <f t="shared" si="18"/>
        <v>3.5342465753424658E-4</v>
      </c>
      <c r="D369" s="1">
        <f>B369*Table1[[#This Row],[Дневная ставка]]</f>
        <v>3.5740060202598811</v>
      </c>
      <c r="E369">
        <v>0</v>
      </c>
      <c r="F369" s="1">
        <f t="shared" si="16"/>
        <v>10116.071660243955</v>
      </c>
    </row>
    <row r="370" spans="1:6" x14ac:dyDescent="0.3">
      <c r="A370" s="3">
        <v>46423</v>
      </c>
      <c r="B370" s="1">
        <f t="shared" si="17"/>
        <v>10116.071660243955</v>
      </c>
      <c r="C370">
        <f t="shared" si="18"/>
        <v>3.5342465753424658E-4</v>
      </c>
      <c r="D370" s="1">
        <f>B370*Table1[[#This Row],[Дневная ставка]]</f>
        <v>3.5752691621136172</v>
      </c>
      <c r="E370">
        <v>0</v>
      </c>
      <c r="F370" s="1">
        <f t="shared" si="16"/>
        <v>10119.646929406068</v>
      </c>
    </row>
    <row r="371" spans="1:6" x14ac:dyDescent="0.3">
      <c r="A371" s="3">
        <v>46424</v>
      </c>
      <c r="B371" s="1">
        <f t="shared" si="17"/>
        <v>10119.646929406068</v>
      </c>
      <c r="C371">
        <f t="shared" si="18"/>
        <v>3.5342465753424658E-4</v>
      </c>
      <c r="D371" s="1">
        <f>B371*Table1[[#This Row],[Дневная ставка]]</f>
        <v>3.5765327503928295</v>
      </c>
      <c r="E371">
        <v>0</v>
      </c>
      <c r="F371" s="1">
        <f t="shared" si="16"/>
        <v>10123.22346215646</v>
      </c>
    </row>
    <row r="372" spans="1:6" x14ac:dyDescent="0.3">
      <c r="A372" s="3">
        <v>46425</v>
      </c>
      <c r="B372" s="1">
        <f t="shared" si="17"/>
        <v>10123.22346215646</v>
      </c>
      <c r="C372">
        <f t="shared" si="18"/>
        <v>3.5342465753424658E-4</v>
      </c>
      <c r="D372" s="1">
        <f>B372*Table1[[#This Row],[Дневная ставка]]</f>
        <v>3.577796785255297</v>
      </c>
      <c r="E372">
        <v>0</v>
      </c>
      <c r="F372" s="1">
        <f t="shared" si="16"/>
        <v>10126.801258941716</v>
      </c>
    </row>
    <row r="373" spans="1:6" x14ac:dyDescent="0.3">
      <c r="A373" s="3">
        <v>46426</v>
      </c>
      <c r="B373" s="1">
        <f t="shared" si="17"/>
        <v>10126.801258941716</v>
      </c>
      <c r="C373">
        <f t="shared" si="18"/>
        <v>3.5342465753424658E-4</v>
      </c>
      <c r="D373" s="1">
        <f>B373*Table1[[#This Row],[Дневная ставка]]</f>
        <v>3.5790612668588531</v>
      </c>
      <c r="E373">
        <v>0</v>
      </c>
      <c r="F373" s="1">
        <f t="shared" si="16"/>
        <v>10130.380320208575</v>
      </c>
    </row>
    <row r="374" spans="1:6" x14ac:dyDescent="0.3">
      <c r="A374" s="3">
        <v>46427</v>
      </c>
      <c r="B374" s="1">
        <f t="shared" si="17"/>
        <v>10130.380320208575</v>
      </c>
      <c r="C374">
        <f t="shared" si="18"/>
        <v>3.5342465753424658E-4</v>
      </c>
      <c r="D374" s="1">
        <f>B374*Table1[[#This Row],[Дневная ставка]]</f>
        <v>3.5803261953613865</v>
      </c>
      <c r="E374">
        <v>0</v>
      </c>
      <c r="F374" s="1">
        <f t="shared" si="16"/>
        <v>10133.960646403935</v>
      </c>
    </row>
    <row r="375" spans="1:6" x14ac:dyDescent="0.3">
      <c r="A375" s="3">
        <v>46428</v>
      </c>
      <c r="B375" s="1">
        <f t="shared" si="17"/>
        <v>10133.960646403935</v>
      </c>
      <c r="C375">
        <f t="shared" si="18"/>
        <v>3.5342465753424658E-4</v>
      </c>
      <c r="D375" s="1">
        <f>B375*Table1[[#This Row],[Дневная ставка]]</f>
        <v>3.581591570920843</v>
      </c>
      <c r="E375">
        <v>0</v>
      </c>
      <c r="F375" s="1">
        <f t="shared" si="16"/>
        <v>10137.542237974856</v>
      </c>
    </row>
    <row r="376" spans="1:6" x14ac:dyDescent="0.3">
      <c r="A376" s="3">
        <v>46429</v>
      </c>
      <c r="B376" s="1">
        <f t="shared" si="17"/>
        <v>10137.542237974856</v>
      </c>
      <c r="C376">
        <f t="shared" si="18"/>
        <v>3.5342465753424658E-4</v>
      </c>
      <c r="D376" s="1">
        <f>B376*Table1[[#This Row],[Дневная ставка]]</f>
        <v>3.5828573936952233</v>
      </c>
      <c r="E376">
        <v>0</v>
      </c>
      <c r="F376" s="1">
        <f t="shared" si="16"/>
        <v>10141.125095368552</v>
      </c>
    </row>
    <row r="377" spans="1:6" x14ac:dyDescent="0.3">
      <c r="A377" s="3">
        <v>46430</v>
      </c>
      <c r="B377" s="1">
        <f t="shared" si="17"/>
        <v>10141.125095368552</v>
      </c>
      <c r="C377">
        <f t="shared" si="18"/>
        <v>3.5342465753424658E-4</v>
      </c>
      <c r="D377" s="1">
        <f>B377*Table1[[#This Row],[Дневная ставка]]</f>
        <v>3.5841236638425844</v>
      </c>
      <c r="E377">
        <v>0</v>
      </c>
      <c r="F377" s="1">
        <f t="shared" si="16"/>
        <v>10144.709219032395</v>
      </c>
    </row>
    <row r="378" spans="1:6" x14ac:dyDescent="0.3">
      <c r="A378" s="3">
        <v>46431</v>
      </c>
      <c r="B378" s="1">
        <f t="shared" si="17"/>
        <v>10144.709219032395</v>
      </c>
      <c r="C378">
        <f t="shared" si="18"/>
        <v>3.5342465753424658E-4</v>
      </c>
      <c r="D378" s="1">
        <f>B378*Table1[[#This Row],[Дневная ставка]]</f>
        <v>3.5853903815210382</v>
      </c>
      <c r="E378">
        <v>0</v>
      </c>
      <c r="F378" s="1">
        <f t="shared" si="16"/>
        <v>10148.294609413915</v>
      </c>
    </row>
    <row r="379" spans="1:6" x14ac:dyDescent="0.3">
      <c r="A379" s="3">
        <v>46432</v>
      </c>
      <c r="B379" s="1">
        <f t="shared" si="17"/>
        <v>10148.294609413915</v>
      </c>
      <c r="C379">
        <f t="shared" si="18"/>
        <v>3.5342465753424658E-4</v>
      </c>
      <c r="D379" s="1">
        <f>B379*Table1[[#This Row],[Дневная ставка]]</f>
        <v>3.5866575468887536</v>
      </c>
      <c r="E379">
        <v>0</v>
      </c>
      <c r="F379" s="1">
        <f t="shared" si="16"/>
        <v>10151.881266960803</v>
      </c>
    </row>
    <row r="380" spans="1:6" x14ac:dyDescent="0.3">
      <c r="A380" s="3">
        <v>46433</v>
      </c>
      <c r="B380" s="1">
        <f t="shared" si="17"/>
        <v>10151.881266960803</v>
      </c>
      <c r="C380">
        <f t="shared" si="18"/>
        <v>3.5342465753424658E-4</v>
      </c>
      <c r="D380" s="1">
        <f>B380*Table1[[#This Row],[Дневная ставка]]</f>
        <v>3.5879251601039552</v>
      </c>
      <c r="E380">
        <v>0</v>
      </c>
      <c r="F380" s="1">
        <f t="shared" si="16"/>
        <v>10155.469192120907</v>
      </c>
    </row>
    <row r="381" spans="1:6" x14ac:dyDescent="0.3">
      <c r="A381" s="3">
        <v>46434</v>
      </c>
      <c r="B381" s="1">
        <f t="shared" si="17"/>
        <v>10155.469192120907</v>
      </c>
      <c r="C381">
        <f t="shared" si="18"/>
        <v>3.5342465753424658E-4</v>
      </c>
      <c r="D381" s="1">
        <f>B381*Table1[[#This Row],[Дневная ставка]]</f>
        <v>3.5891932213249231</v>
      </c>
      <c r="E381">
        <v>0</v>
      </c>
      <c r="F381" s="1">
        <f t="shared" si="16"/>
        <v>10159.058385342232</v>
      </c>
    </row>
    <row r="382" spans="1:6" x14ac:dyDescent="0.3">
      <c r="A382" s="3">
        <v>46435</v>
      </c>
      <c r="B382" s="1">
        <f t="shared" si="17"/>
        <v>10159.058385342232</v>
      </c>
      <c r="C382">
        <f t="shared" si="18"/>
        <v>3.5342465753424658E-4</v>
      </c>
      <c r="D382" s="1">
        <f>B382*Table1[[#This Row],[Дневная ставка]]</f>
        <v>3.5904617307099946</v>
      </c>
      <c r="E382">
        <v>0</v>
      </c>
      <c r="F382" s="1">
        <f t="shared" si="16"/>
        <v>10162.648847072942</v>
      </c>
    </row>
    <row r="383" spans="1:6" x14ac:dyDescent="0.3">
      <c r="A383" s="3">
        <v>46436</v>
      </c>
      <c r="B383" s="1">
        <f t="shared" si="17"/>
        <v>10162.648847072942</v>
      </c>
      <c r="C383">
        <f t="shared" si="18"/>
        <v>3.5342465753424658E-4</v>
      </c>
      <c r="D383" s="1">
        <f>B383*Table1[[#This Row],[Дневная ставка]]</f>
        <v>3.5917306884175604</v>
      </c>
      <c r="E383">
        <v>0</v>
      </c>
      <c r="F383" s="1">
        <f t="shared" si="16"/>
        <v>10166.24057776136</v>
      </c>
    </row>
    <row r="384" spans="1:6" x14ac:dyDescent="0.3">
      <c r="A384" s="3">
        <v>46437</v>
      </c>
      <c r="B384" s="1">
        <f t="shared" si="17"/>
        <v>10166.24057776136</v>
      </c>
      <c r="C384">
        <f t="shared" si="18"/>
        <v>3.5342465753424658E-4</v>
      </c>
      <c r="D384" s="1">
        <f>B384*Table1[[#This Row],[Дневная ставка]]</f>
        <v>3.5930000946060701</v>
      </c>
      <c r="E384">
        <v>650.05999999999995</v>
      </c>
      <c r="F384" s="1">
        <f t="shared" si="16"/>
        <v>9519.7735778559672</v>
      </c>
    </row>
    <row r="385" spans="1:6" x14ac:dyDescent="0.3">
      <c r="A385" s="3">
        <v>46438</v>
      </c>
      <c r="B385" s="1">
        <f t="shared" si="17"/>
        <v>9519.7735778559672</v>
      </c>
      <c r="C385">
        <f t="shared" si="18"/>
        <v>3.5342465753424658E-4</v>
      </c>
      <c r="D385" s="1">
        <f>B385*Table1[[#This Row],[Дневная ставка]]</f>
        <v>3.3645227165573144</v>
      </c>
      <c r="E385">
        <v>0</v>
      </c>
      <c r="F385" s="1">
        <f t="shared" si="16"/>
        <v>9523.1381005725252</v>
      </c>
    </row>
    <row r="386" spans="1:6" x14ac:dyDescent="0.3">
      <c r="A386" s="3">
        <v>46439</v>
      </c>
      <c r="B386" s="1">
        <f t="shared" si="17"/>
        <v>9523.1381005725252</v>
      </c>
      <c r="C386">
        <f t="shared" si="18"/>
        <v>3.5342465753424658E-4</v>
      </c>
      <c r="D386" s="1">
        <f>B386*Table1[[#This Row],[Дневная ставка]]</f>
        <v>3.3657118218461801</v>
      </c>
      <c r="E386">
        <v>0</v>
      </c>
      <c r="F386" s="1">
        <f t="shared" si="16"/>
        <v>9526.5038123943723</v>
      </c>
    </row>
    <row r="387" spans="1:6" x14ac:dyDescent="0.3">
      <c r="A387" s="3">
        <v>46440</v>
      </c>
      <c r="B387" s="1">
        <f t="shared" si="17"/>
        <v>9526.5038123943723</v>
      </c>
      <c r="C387">
        <f t="shared" si="18"/>
        <v>3.5342465753424658E-4</v>
      </c>
      <c r="D387" s="1">
        <f>B387*Table1[[#This Row],[Дневная ставка]]</f>
        <v>3.3669013473941756</v>
      </c>
      <c r="E387">
        <v>0</v>
      </c>
      <c r="F387" s="1">
        <f t="shared" ref="F387:F450" si="19">B387+D387-E387</f>
        <v>9529.8707137417659</v>
      </c>
    </row>
    <row r="388" spans="1:6" x14ac:dyDescent="0.3">
      <c r="A388" s="3">
        <v>46441</v>
      </c>
      <c r="B388" s="1">
        <f t="shared" ref="B388:B451" si="20">F387</f>
        <v>9529.8707137417659</v>
      </c>
      <c r="C388">
        <f t="shared" si="18"/>
        <v>3.5342465753424658E-4</v>
      </c>
      <c r="D388" s="1">
        <f>B388*Table1[[#This Row],[Дневная ставка]]</f>
        <v>3.3680912933498295</v>
      </c>
      <c r="E388">
        <v>0</v>
      </c>
      <c r="F388" s="1">
        <f t="shared" si="19"/>
        <v>9533.2388050351165</v>
      </c>
    </row>
    <row r="389" spans="1:6" x14ac:dyDescent="0.3">
      <c r="A389" s="3">
        <v>46442</v>
      </c>
      <c r="B389" s="1">
        <f t="shared" si="20"/>
        <v>9533.2388050351165</v>
      </c>
      <c r="C389">
        <f t="shared" si="18"/>
        <v>3.5342465753424658E-4</v>
      </c>
      <c r="D389" s="1">
        <f>B389*Table1[[#This Row],[Дневная ставка]]</f>
        <v>3.3692816598617261</v>
      </c>
      <c r="E389">
        <v>0</v>
      </c>
      <c r="F389" s="1">
        <f t="shared" si="19"/>
        <v>9536.6080866949778</v>
      </c>
    </row>
    <row r="390" spans="1:6" x14ac:dyDescent="0.3">
      <c r="A390" s="3">
        <v>46443</v>
      </c>
      <c r="B390" s="1">
        <f t="shared" si="20"/>
        <v>9536.6080866949778</v>
      </c>
      <c r="C390">
        <f t="shared" si="18"/>
        <v>3.5342465753424658E-4</v>
      </c>
      <c r="D390" s="1">
        <f>B390*Table1[[#This Row],[Дневная ставка]]</f>
        <v>3.370472447078499</v>
      </c>
      <c r="E390">
        <v>0</v>
      </c>
      <c r="F390" s="1">
        <f t="shared" si="19"/>
        <v>9539.9785591420568</v>
      </c>
    </row>
    <row r="391" spans="1:6" x14ac:dyDescent="0.3">
      <c r="A391" s="3">
        <v>46444</v>
      </c>
      <c r="B391" s="1">
        <f t="shared" si="20"/>
        <v>9539.9785591420568</v>
      </c>
      <c r="C391">
        <f t="shared" si="18"/>
        <v>3.5342465753424658E-4</v>
      </c>
      <c r="D391" s="1">
        <f>B391*Table1[[#This Row],[Дневная ставка]]</f>
        <v>3.3716636551488368</v>
      </c>
      <c r="E391">
        <v>0</v>
      </c>
      <c r="F391" s="1">
        <f t="shared" si="19"/>
        <v>9543.3502227972058</v>
      </c>
    </row>
    <row r="392" spans="1:6" x14ac:dyDescent="0.3">
      <c r="A392" s="3">
        <v>46445</v>
      </c>
      <c r="B392" s="1">
        <f t="shared" si="20"/>
        <v>9543.3502227972058</v>
      </c>
      <c r="C392">
        <f t="shared" si="18"/>
        <v>3.5342465753424658E-4</v>
      </c>
      <c r="D392" s="1">
        <f>B392*Table1[[#This Row],[Дневная ставка]]</f>
        <v>3.3728552842214783</v>
      </c>
      <c r="E392">
        <v>0</v>
      </c>
      <c r="F392" s="1">
        <f t="shared" si="19"/>
        <v>9546.723078081428</v>
      </c>
    </row>
    <row r="393" spans="1:6" x14ac:dyDescent="0.3">
      <c r="A393" s="3">
        <v>46446</v>
      </c>
      <c r="B393" s="1">
        <f t="shared" si="20"/>
        <v>9546.723078081428</v>
      </c>
      <c r="C393">
        <f t="shared" si="18"/>
        <v>3.5342465753424658E-4</v>
      </c>
      <c r="D393" s="1">
        <f>B393*Table1[[#This Row],[Дневная ставка]]</f>
        <v>3.3740473344452169</v>
      </c>
      <c r="E393">
        <v>0</v>
      </c>
      <c r="F393" s="1">
        <f t="shared" si="19"/>
        <v>9550.097125415874</v>
      </c>
    </row>
    <row r="394" spans="1:6" x14ac:dyDescent="0.3">
      <c r="A394" s="3">
        <v>46447</v>
      </c>
      <c r="B394" s="1">
        <f t="shared" si="20"/>
        <v>9550.097125415874</v>
      </c>
      <c r="C394">
        <f t="shared" si="18"/>
        <v>3.5342465753424658E-4</v>
      </c>
      <c r="D394" s="1">
        <f>B394*Table1[[#This Row],[Дневная ставка]]</f>
        <v>3.3752398059688979</v>
      </c>
      <c r="E394">
        <v>0</v>
      </c>
      <c r="F394" s="1">
        <f t="shared" si="19"/>
        <v>9553.4723652218436</v>
      </c>
    </row>
    <row r="395" spans="1:6" x14ac:dyDescent="0.3">
      <c r="A395" s="3">
        <v>46448</v>
      </c>
      <c r="B395" s="1">
        <f t="shared" si="20"/>
        <v>9553.4723652218436</v>
      </c>
      <c r="C395">
        <f t="shared" si="18"/>
        <v>3.5342465753424658E-4</v>
      </c>
      <c r="D395" s="1">
        <f>B395*Table1[[#This Row],[Дневная ставка]]</f>
        <v>3.3764326989414188</v>
      </c>
      <c r="E395">
        <v>0</v>
      </c>
      <c r="F395" s="1">
        <f t="shared" si="19"/>
        <v>9556.8487979207857</v>
      </c>
    </row>
    <row r="396" spans="1:6" x14ac:dyDescent="0.3">
      <c r="A396" s="3">
        <v>46449</v>
      </c>
      <c r="B396" s="1">
        <f t="shared" si="20"/>
        <v>9556.8487979207857</v>
      </c>
      <c r="C396">
        <f t="shared" si="18"/>
        <v>3.5342465753424658E-4</v>
      </c>
      <c r="D396" s="1">
        <f>B396*Table1[[#This Row],[Дневная ставка]]</f>
        <v>3.3776260135117298</v>
      </c>
      <c r="E396">
        <v>0</v>
      </c>
      <c r="F396" s="1">
        <f t="shared" si="19"/>
        <v>9560.2264239342967</v>
      </c>
    </row>
    <row r="397" spans="1:6" x14ac:dyDescent="0.3">
      <c r="A397" s="3">
        <v>46450</v>
      </c>
      <c r="B397" s="1">
        <f t="shared" si="20"/>
        <v>9560.2264239342967</v>
      </c>
      <c r="C397">
        <f t="shared" si="18"/>
        <v>3.5342465753424658E-4</v>
      </c>
      <c r="D397" s="1">
        <f>B397*Table1[[#This Row],[Дневная ставка]]</f>
        <v>3.3788197498288337</v>
      </c>
      <c r="E397">
        <v>0</v>
      </c>
      <c r="F397" s="1">
        <f t="shared" si="19"/>
        <v>9563.6052436841255</v>
      </c>
    </row>
    <row r="398" spans="1:6" x14ac:dyDescent="0.3">
      <c r="A398" s="3">
        <v>46451</v>
      </c>
      <c r="B398" s="1">
        <f t="shared" si="20"/>
        <v>9563.6052436841255</v>
      </c>
      <c r="C398">
        <f t="shared" si="18"/>
        <v>3.5342465753424658E-4</v>
      </c>
      <c r="D398" s="1">
        <f>B398*Table1[[#This Row],[Дневная ставка]]</f>
        <v>3.380013908041787</v>
      </c>
      <c r="E398">
        <v>0</v>
      </c>
      <c r="F398" s="1">
        <f t="shared" si="19"/>
        <v>9566.9852575921668</v>
      </c>
    </row>
    <row r="399" spans="1:6" x14ac:dyDescent="0.3">
      <c r="A399" s="3">
        <v>46452</v>
      </c>
      <c r="B399" s="1">
        <f t="shared" si="20"/>
        <v>9566.9852575921668</v>
      </c>
      <c r="C399">
        <f t="shared" si="18"/>
        <v>3.5342465753424658E-4</v>
      </c>
      <c r="D399" s="1">
        <f>B399*Table1[[#This Row],[Дневная ставка]]</f>
        <v>3.3812084882996976</v>
      </c>
      <c r="E399">
        <v>0</v>
      </c>
      <c r="F399" s="1">
        <f t="shared" si="19"/>
        <v>9570.3664660804661</v>
      </c>
    </row>
    <row r="400" spans="1:6" x14ac:dyDescent="0.3">
      <c r="A400" s="3">
        <v>46453</v>
      </c>
      <c r="B400" s="1">
        <f t="shared" si="20"/>
        <v>9570.3664660804661</v>
      </c>
      <c r="C400">
        <f t="shared" si="18"/>
        <v>3.5342465753424658E-4</v>
      </c>
      <c r="D400" s="1">
        <f>B400*Table1[[#This Row],[Дневная ставка]]</f>
        <v>3.3824034907517264</v>
      </c>
      <c r="E400">
        <v>0</v>
      </c>
      <c r="F400" s="1">
        <f t="shared" si="19"/>
        <v>9573.7488695712182</v>
      </c>
    </row>
    <row r="401" spans="1:6" x14ac:dyDescent="0.3">
      <c r="A401" s="3">
        <v>46454</v>
      </c>
      <c r="B401" s="1">
        <f t="shared" si="20"/>
        <v>9573.7488695712182</v>
      </c>
      <c r="C401">
        <f t="shared" si="18"/>
        <v>3.5342465753424658E-4</v>
      </c>
      <c r="D401" s="1">
        <f>B401*Table1[[#This Row],[Дневная ставка]]</f>
        <v>3.383598915547088</v>
      </c>
      <c r="E401">
        <v>0</v>
      </c>
      <c r="F401" s="1">
        <f t="shared" si="19"/>
        <v>9577.132468486765</v>
      </c>
    </row>
    <row r="402" spans="1:6" x14ac:dyDescent="0.3">
      <c r="A402" s="3">
        <v>46455</v>
      </c>
      <c r="B402" s="1">
        <f t="shared" si="20"/>
        <v>9577.132468486765</v>
      </c>
      <c r="C402">
        <f t="shared" si="18"/>
        <v>3.5342465753424658E-4</v>
      </c>
      <c r="D402" s="1">
        <f>B402*Table1[[#This Row],[Дневная ставка]]</f>
        <v>3.3847947628350483</v>
      </c>
      <c r="E402">
        <v>0</v>
      </c>
      <c r="F402" s="1">
        <f t="shared" si="19"/>
        <v>9580.5172632495996</v>
      </c>
    </row>
    <row r="403" spans="1:6" x14ac:dyDescent="0.3">
      <c r="A403" s="3">
        <v>46456</v>
      </c>
      <c r="B403" s="1">
        <f t="shared" si="20"/>
        <v>9580.5172632495996</v>
      </c>
      <c r="C403">
        <f t="shared" si="18"/>
        <v>3.5342465753424658E-4</v>
      </c>
      <c r="D403" s="1">
        <f>B403*Table1[[#This Row],[Дневная ставка]]</f>
        <v>3.385991032764927</v>
      </c>
      <c r="E403">
        <v>0</v>
      </c>
      <c r="F403" s="1">
        <f t="shared" si="19"/>
        <v>9583.9032542823643</v>
      </c>
    </row>
    <row r="404" spans="1:6" x14ac:dyDescent="0.3">
      <c r="A404" s="3">
        <v>46457</v>
      </c>
      <c r="B404" s="1">
        <f t="shared" si="20"/>
        <v>9583.9032542823643</v>
      </c>
      <c r="C404">
        <f t="shared" ref="C404:C467" si="21">(12.9%/365)</f>
        <v>3.5342465753424658E-4</v>
      </c>
      <c r="D404" s="1">
        <f>B404*Table1[[#This Row],[Дневная ставка]]</f>
        <v>3.387187725486096</v>
      </c>
      <c r="E404">
        <v>0</v>
      </c>
      <c r="F404" s="1">
        <f t="shared" si="19"/>
        <v>9587.2904420078503</v>
      </c>
    </row>
    <row r="405" spans="1:6" x14ac:dyDescent="0.3">
      <c r="A405" s="3">
        <v>46458</v>
      </c>
      <c r="B405" s="1">
        <f t="shared" si="20"/>
        <v>9587.2904420078503</v>
      </c>
      <c r="C405">
        <f t="shared" si="21"/>
        <v>3.5342465753424658E-4</v>
      </c>
      <c r="D405" s="1">
        <f>B405*Table1[[#This Row],[Дневная ставка]]</f>
        <v>3.38838484114798</v>
      </c>
      <c r="E405">
        <v>0</v>
      </c>
      <c r="F405" s="1">
        <f t="shared" si="19"/>
        <v>9590.6788268489981</v>
      </c>
    </row>
    <row r="406" spans="1:6" x14ac:dyDescent="0.3">
      <c r="A406" s="3">
        <v>46459</v>
      </c>
      <c r="B406" s="1">
        <f t="shared" si="20"/>
        <v>9590.6788268489981</v>
      </c>
      <c r="C406">
        <f t="shared" si="21"/>
        <v>3.5342465753424658E-4</v>
      </c>
      <c r="D406" s="1">
        <f>B406*Table1[[#This Row],[Дневная ставка]]</f>
        <v>3.3895823799000571</v>
      </c>
      <c r="E406">
        <v>0</v>
      </c>
      <c r="F406" s="1">
        <f t="shared" si="19"/>
        <v>9594.0684092288975</v>
      </c>
    </row>
    <row r="407" spans="1:6" x14ac:dyDescent="0.3">
      <c r="A407" s="3">
        <v>46460</v>
      </c>
      <c r="B407" s="1">
        <f t="shared" si="20"/>
        <v>9594.0684092288975</v>
      </c>
      <c r="C407">
        <f t="shared" si="21"/>
        <v>3.5342465753424658E-4</v>
      </c>
      <c r="D407" s="1">
        <f>B407*Table1[[#This Row],[Дневная ставка]]</f>
        <v>3.390780341891857</v>
      </c>
      <c r="E407">
        <v>0</v>
      </c>
      <c r="F407" s="1">
        <f t="shared" si="19"/>
        <v>9597.459189570789</v>
      </c>
    </row>
    <row r="408" spans="1:6" x14ac:dyDescent="0.3">
      <c r="A408" s="3">
        <v>46461</v>
      </c>
      <c r="B408" s="1">
        <f t="shared" si="20"/>
        <v>9597.459189570789</v>
      </c>
      <c r="C408">
        <f t="shared" si="21"/>
        <v>3.5342465753424658E-4</v>
      </c>
      <c r="D408" s="1">
        <f>B408*Table1[[#This Row],[Дневная ставка]]</f>
        <v>3.391978727272964</v>
      </c>
      <c r="E408">
        <v>0</v>
      </c>
      <c r="F408" s="1">
        <f t="shared" si="19"/>
        <v>9600.8511682980625</v>
      </c>
    </row>
    <row r="409" spans="1:6" x14ac:dyDescent="0.3">
      <c r="A409" s="3">
        <v>46462</v>
      </c>
      <c r="B409" s="1">
        <f t="shared" si="20"/>
        <v>9600.8511682980625</v>
      </c>
      <c r="C409">
        <f t="shared" si="21"/>
        <v>3.5342465753424658E-4</v>
      </c>
      <c r="D409" s="1">
        <f>B409*Table1[[#This Row],[Дневная ставка]]</f>
        <v>3.3931775361930141</v>
      </c>
      <c r="E409">
        <v>0</v>
      </c>
      <c r="F409" s="1">
        <f t="shared" si="19"/>
        <v>9604.244345834255</v>
      </c>
    </row>
    <row r="410" spans="1:6" x14ac:dyDescent="0.3">
      <c r="A410" s="3">
        <v>46463</v>
      </c>
      <c r="B410" s="1">
        <f t="shared" si="20"/>
        <v>9604.244345834255</v>
      </c>
      <c r="C410">
        <f t="shared" si="21"/>
        <v>3.5342465753424658E-4</v>
      </c>
      <c r="D410" s="1">
        <f>B410*Table1[[#This Row],[Дневная ставка]]</f>
        <v>3.3943767688016955</v>
      </c>
      <c r="E410">
        <v>0</v>
      </c>
      <c r="F410" s="1">
        <f t="shared" si="19"/>
        <v>9607.6387226030565</v>
      </c>
    </row>
    <row r="411" spans="1:6" x14ac:dyDescent="0.3">
      <c r="A411" s="3">
        <v>46464</v>
      </c>
      <c r="B411" s="1">
        <f t="shared" si="20"/>
        <v>9607.6387226030565</v>
      </c>
      <c r="C411">
        <f t="shared" si="21"/>
        <v>3.5342465753424658E-4</v>
      </c>
      <c r="D411" s="1">
        <f>B411*Table1[[#This Row],[Дневная ставка]]</f>
        <v>3.3955764252487515</v>
      </c>
      <c r="E411">
        <v>0</v>
      </c>
      <c r="F411" s="1">
        <f t="shared" si="19"/>
        <v>9611.0342990283061</v>
      </c>
    </row>
    <row r="412" spans="1:6" x14ac:dyDescent="0.3">
      <c r="A412" s="3">
        <v>46465</v>
      </c>
      <c r="B412" s="1">
        <f t="shared" si="20"/>
        <v>9611.0342990283061</v>
      </c>
      <c r="C412">
        <f t="shared" si="21"/>
        <v>3.5342465753424658E-4</v>
      </c>
      <c r="D412" s="1">
        <f>B412*Table1[[#This Row],[Дневная ставка]]</f>
        <v>3.3967765056839769</v>
      </c>
      <c r="E412">
        <v>650.05999999999995</v>
      </c>
      <c r="F412" s="1">
        <f t="shared" si="19"/>
        <v>8964.3710755339907</v>
      </c>
    </row>
    <row r="413" spans="1:6" x14ac:dyDescent="0.3">
      <c r="A413" s="3">
        <v>46466</v>
      </c>
      <c r="B413" s="1">
        <f t="shared" si="20"/>
        <v>8964.3710755339907</v>
      </c>
      <c r="C413">
        <f t="shared" si="21"/>
        <v>3.5342465753424658E-4</v>
      </c>
      <c r="D413" s="1">
        <f>B413*Table1[[#This Row],[Дневная ставка]]</f>
        <v>3.1682297773805064</v>
      </c>
      <c r="E413">
        <v>0</v>
      </c>
      <c r="F413" s="1">
        <f t="shared" si="19"/>
        <v>8967.5393053113712</v>
      </c>
    </row>
    <row r="414" spans="1:6" x14ac:dyDescent="0.3">
      <c r="A414" s="3">
        <v>46467</v>
      </c>
      <c r="B414" s="1">
        <f t="shared" si="20"/>
        <v>8967.5393053113712</v>
      </c>
      <c r="C414">
        <f t="shared" si="21"/>
        <v>3.5342465753424658E-4</v>
      </c>
      <c r="D414" s="1">
        <f>B414*Table1[[#This Row],[Дневная ставка]]</f>
        <v>3.1693495079045668</v>
      </c>
      <c r="E414">
        <v>0</v>
      </c>
      <c r="F414" s="1">
        <f t="shared" si="19"/>
        <v>8970.7086548192765</v>
      </c>
    </row>
    <row r="415" spans="1:6" x14ac:dyDescent="0.3">
      <c r="A415" s="3">
        <v>46468</v>
      </c>
      <c r="B415" s="1">
        <f t="shared" si="20"/>
        <v>8970.7086548192765</v>
      </c>
      <c r="C415">
        <f t="shared" si="21"/>
        <v>3.5342465753424658E-4</v>
      </c>
      <c r="D415" s="1">
        <f>B415*Table1[[#This Row],[Дневная ставка]]</f>
        <v>3.1704696341690046</v>
      </c>
      <c r="E415">
        <v>0</v>
      </c>
      <c r="F415" s="1">
        <f t="shared" si="19"/>
        <v>8973.8791244534459</v>
      </c>
    </row>
    <row r="416" spans="1:6" x14ac:dyDescent="0.3">
      <c r="A416" s="3">
        <v>46469</v>
      </c>
      <c r="B416" s="1">
        <f t="shared" si="20"/>
        <v>8973.8791244534459</v>
      </c>
      <c r="C416">
        <f t="shared" si="21"/>
        <v>3.5342465753424658E-4</v>
      </c>
      <c r="D416" s="1">
        <f>B416*Table1[[#This Row],[Дневная ставка]]</f>
        <v>3.1715901563136839</v>
      </c>
      <c r="E416">
        <v>0</v>
      </c>
      <c r="F416" s="1">
        <f t="shared" si="19"/>
        <v>8977.0507146097589</v>
      </c>
    </row>
    <row r="417" spans="1:6" x14ac:dyDescent="0.3">
      <c r="A417" s="3">
        <v>46470</v>
      </c>
      <c r="B417" s="1">
        <f t="shared" si="20"/>
        <v>8977.0507146097589</v>
      </c>
      <c r="C417">
        <f t="shared" si="21"/>
        <v>3.5342465753424658E-4</v>
      </c>
      <c r="D417" s="1">
        <f>B417*Table1[[#This Row],[Дневная ставка]]</f>
        <v>3.1727110744785176</v>
      </c>
      <c r="E417">
        <v>0</v>
      </c>
      <c r="F417" s="1">
        <f t="shared" si="19"/>
        <v>8980.2234256842366</v>
      </c>
    </row>
    <row r="418" spans="1:6" x14ac:dyDescent="0.3">
      <c r="A418" s="3">
        <v>46471</v>
      </c>
      <c r="B418" s="1">
        <f t="shared" si="20"/>
        <v>8980.2234256842366</v>
      </c>
      <c r="C418">
        <f t="shared" si="21"/>
        <v>3.5342465753424658E-4</v>
      </c>
      <c r="D418" s="1">
        <f>B418*Table1[[#This Row],[Дневная ставка]]</f>
        <v>3.1738323888034699</v>
      </c>
      <c r="E418">
        <v>0</v>
      </c>
      <c r="F418" s="1">
        <f t="shared" si="19"/>
        <v>8983.3972580730406</v>
      </c>
    </row>
    <row r="419" spans="1:6" x14ac:dyDescent="0.3">
      <c r="A419" s="3">
        <v>46472</v>
      </c>
      <c r="B419" s="1">
        <f t="shared" si="20"/>
        <v>8983.3972580730406</v>
      </c>
      <c r="C419">
        <f t="shared" si="21"/>
        <v>3.5342465753424658E-4</v>
      </c>
      <c r="D419" s="1">
        <f>B419*Table1[[#This Row],[Дневная ставка]]</f>
        <v>3.1749540994285543</v>
      </c>
      <c r="E419">
        <v>0</v>
      </c>
      <c r="F419" s="1">
        <f t="shared" si="19"/>
        <v>8986.5722121724684</v>
      </c>
    </row>
    <row r="420" spans="1:6" x14ac:dyDescent="0.3">
      <c r="A420" s="3">
        <v>46473</v>
      </c>
      <c r="B420" s="1">
        <f t="shared" si="20"/>
        <v>8986.5722121724684</v>
      </c>
      <c r="C420">
        <f t="shared" si="21"/>
        <v>3.5342465753424658E-4</v>
      </c>
      <c r="D420" s="1">
        <f>B420*Table1[[#This Row],[Дневная ставка]]</f>
        <v>3.1760762064938315</v>
      </c>
      <c r="E420">
        <v>0</v>
      </c>
      <c r="F420" s="1">
        <f t="shared" si="19"/>
        <v>8989.7482883789617</v>
      </c>
    </row>
    <row r="421" spans="1:6" x14ac:dyDescent="0.3">
      <c r="A421" s="3">
        <v>46474</v>
      </c>
      <c r="B421" s="1">
        <f t="shared" si="20"/>
        <v>8989.7482883789617</v>
      </c>
      <c r="C421">
        <f t="shared" si="21"/>
        <v>3.5342465753424658E-4</v>
      </c>
      <c r="D421" s="1">
        <f>B421*Table1[[#This Row],[Дневная ставка]]</f>
        <v>3.1771987101394141</v>
      </c>
      <c r="E421">
        <v>0</v>
      </c>
      <c r="F421" s="1">
        <f t="shared" si="19"/>
        <v>8992.9254870891018</v>
      </c>
    </row>
    <row r="422" spans="1:6" x14ac:dyDescent="0.3">
      <c r="A422" s="3">
        <v>46475</v>
      </c>
      <c r="B422" s="1">
        <f t="shared" si="20"/>
        <v>8992.9254870891018</v>
      </c>
      <c r="C422">
        <f t="shared" si="21"/>
        <v>3.5342465753424658E-4</v>
      </c>
      <c r="D422" s="1">
        <f>B422*Table1[[#This Row],[Дневная ставка]]</f>
        <v>3.1783216105054635</v>
      </c>
      <c r="E422">
        <v>0</v>
      </c>
      <c r="F422" s="1">
        <f t="shared" si="19"/>
        <v>8996.1038086996068</v>
      </c>
    </row>
    <row r="423" spans="1:6" x14ac:dyDescent="0.3">
      <c r="A423" s="3">
        <v>46476</v>
      </c>
      <c r="B423" s="1">
        <f t="shared" si="20"/>
        <v>8996.1038086996068</v>
      </c>
      <c r="C423">
        <f t="shared" si="21"/>
        <v>3.5342465753424658E-4</v>
      </c>
      <c r="D423" s="1">
        <f>B423*Table1[[#This Row],[Дневная ставка]]</f>
        <v>3.17944490773219</v>
      </c>
      <c r="E423">
        <v>0</v>
      </c>
      <c r="F423" s="1">
        <f t="shared" si="19"/>
        <v>8999.2832536073383</v>
      </c>
    </row>
    <row r="424" spans="1:6" x14ac:dyDescent="0.3">
      <c r="A424" s="3">
        <v>46477</v>
      </c>
      <c r="B424" s="1">
        <f t="shared" si="20"/>
        <v>8999.2832536073383</v>
      </c>
      <c r="C424">
        <f t="shared" si="21"/>
        <v>3.5342465753424658E-4</v>
      </c>
      <c r="D424" s="1">
        <f>B424*Table1[[#This Row],[Дневная ставка]]</f>
        <v>3.180568601959854</v>
      </c>
      <c r="E424">
        <v>0</v>
      </c>
      <c r="F424" s="1">
        <f t="shared" si="19"/>
        <v>9002.4638222092981</v>
      </c>
    </row>
    <row r="425" spans="1:6" x14ac:dyDescent="0.3">
      <c r="A425" s="3">
        <v>46478</v>
      </c>
      <c r="B425" s="1">
        <f t="shared" si="20"/>
        <v>9002.4638222092981</v>
      </c>
      <c r="C425">
        <f t="shared" si="21"/>
        <v>3.5342465753424658E-4</v>
      </c>
      <c r="D425" s="1">
        <f>B425*Table1[[#This Row],[Дневная ставка]]</f>
        <v>3.1816926933287659</v>
      </c>
      <c r="E425">
        <v>0</v>
      </c>
      <c r="F425" s="1">
        <f t="shared" si="19"/>
        <v>9005.645514902626</v>
      </c>
    </row>
    <row r="426" spans="1:6" x14ac:dyDescent="0.3">
      <c r="A426" s="3">
        <v>46479</v>
      </c>
      <c r="B426" s="1">
        <f t="shared" si="20"/>
        <v>9005.645514902626</v>
      </c>
      <c r="C426">
        <f t="shared" si="21"/>
        <v>3.5342465753424658E-4</v>
      </c>
      <c r="D426" s="1">
        <f>B426*Table1[[#This Row],[Дневная ставка]]</f>
        <v>3.1828171819792845</v>
      </c>
      <c r="E426">
        <v>0</v>
      </c>
      <c r="F426" s="1">
        <f t="shared" si="19"/>
        <v>9008.8283320846058</v>
      </c>
    </row>
    <row r="427" spans="1:6" x14ac:dyDescent="0.3">
      <c r="A427" s="3">
        <v>46480</v>
      </c>
      <c r="B427" s="1">
        <f t="shared" si="20"/>
        <v>9008.8283320846058</v>
      </c>
      <c r="C427">
        <f t="shared" si="21"/>
        <v>3.5342465753424658E-4</v>
      </c>
      <c r="D427" s="1">
        <f>B427*Table1[[#This Row],[Дневная ставка]]</f>
        <v>3.1839420680518198</v>
      </c>
      <c r="E427">
        <v>0</v>
      </c>
      <c r="F427" s="1">
        <f t="shared" si="19"/>
        <v>9012.0122741526575</v>
      </c>
    </row>
    <row r="428" spans="1:6" x14ac:dyDescent="0.3">
      <c r="A428" s="3">
        <v>46481</v>
      </c>
      <c r="B428" s="1">
        <f t="shared" si="20"/>
        <v>9012.0122741526575</v>
      </c>
      <c r="C428">
        <f t="shared" si="21"/>
        <v>3.5342465753424658E-4</v>
      </c>
      <c r="D428" s="1">
        <f>B428*Table1[[#This Row],[Дневная ставка]]</f>
        <v>3.1850673516868295</v>
      </c>
      <c r="E428">
        <v>0</v>
      </c>
      <c r="F428" s="1">
        <f t="shared" si="19"/>
        <v>9015.1973415043449</v>
      </c>
    </row>
    <row r="429" spans="1:6" x14ac:dyDescent="0.3">
      <c r="A429" s="3">
        <v>46482</v>
      </c>
      <c r="B429" s="1">
        <f t="shared" si="20"/>
        <v>9015.1973415043449</v>
      </c>
      <c r="C429">
        <f t="shared" si="21"/>
        <v>3.5342465753424658E-4</v>
      </c>
      <c r="D429" s="1">
        <f>B429*Table1[[#This Row],[Дневная ставка]]</f>
        <v>3.1861930330248232</v>
      </c>
      <c r="E429">
        <v>0</v>
      </c>
      <c r="F429" s="1">
        <f t="shared" si="19"/>
        <v>9018.38353453737</v>
      </c>
    </row>
    <row r="430" spans="1:6" x14ac:dyDescent="0.3">
      <c r="A430" s="3">
        <v>46483</v>
      </c>
      <c r="B430" s="1">
        <f t="shared" si="20"/>
        <v>9018.38353453737</v>
      </c>
      <c r="C430">
        <f t="shared" si="21"/>
        <v>3.5342465753424658E-4</v>
      </c>
      <c r="D430" s="1">
        <f>B430*Table1[[#This Row],[Дневная ставка]]</f>
        <v>3.1873191122063584</v>
      </c>
      <c r="E430">
        <v>0</v>
      </c>
      <c r="F430" s="1">
        <f t="shared" si="19"/>
        <v>9021.5708536495767</v>
      </c>
    </row>
    <row r="431" spans="1:6" x14ac:dyDescent="0.3">
      <c r="A431" s="3">
        <v>46484</v>
      </c>
      <c r="B431" s="1">
        <f t="shared" si="20"/>
        <v>9021.5708536495767</v>
      </c>
      <c r="C431">
        <f t="shared" si="21"/>
        <v>3.5342465753424658E-4</v>
      </c>
      <c r="D431" s="1">
        <f>B431*Table1[[#This Row],[Дневная ставка]]</f>
        <v>3.1884455893720425</v>
      </c>
      <c r="E431">
        <v>0</v>
      </c>
      <c r="F431" s="1">
        <f t="shared" si="19"/>
        <v>9024.7592992389491</v>
      </c>
    </row>
    <row r="432" spans="1:6" x14ac:dyDescent="0.3">
      <c r="A432" s="3">
        <v>46485</v>
      </c>
      <c r="B432" s="1">
        <f t="shared" si="20"/>
        <v>9024.7592992389491</v>
      </c>
      <c r="C432">
        <f t="shared" si="21"/>
        <v>3.5342465753424658E-4</v>
      </c>
      <c r="D432" s="1">
        <f>B432*Table1[[#This Row],[Дневная ставка]]</f>
        <v>3.189572464662533</v>
      </c>
      <c r="E432">
        <v>0</v>
      </c>
      <c r="F432" s="1">
        <f t="shared" si="19"/>
        <v>9027.9488717036111</v>
      </c>
    </row>
    <row r="433" spans="1:6" x14ac:dyDescent="0.3">
      <c r="A433" s="3">
        <v>46486</v>
      </c>
      <c r="B433" s="1">
        <f t="shared" si="20"/>
        <v>9027.9488717036111</v>
      </c>
      <c r="C433">
        <f t="shared" si="21"/>
        <v>3.5342465753424658E-4</v>
      </c>
      <c r="D433" s="1">
        <f>B433*Table1[[#This Row],[Дневная ставка]]</f>
        <v>3.1906997382185365</v>
      </c>
      <c r="E433">
        <v>0</v>
      </c>
      <c r="F433" s="1">
        <f t="shared" si="19"/>
        <v>9031.1395714418304</v>
      </c>
    </row>
    <row r="434" spans="1:6" x14ac:dyDescent="0.3">
      <c r="A434" s="3">
        <v>46487</v>
      </c>
      <c r="B434" s="1">
        <f t="shared" si="20"/>
        <v>9031.1395714418304</v>
      </c>
      <c r="C434">
        <f t="shared" si="21"/>
        <v>3.5342465753424658E-4</v>
      </c>
      <c r="D434" s="1">
        <f>B434*Table1[[#This Row],[Дневная ставка]]</f>
        <v>3.1918274101808115</v>
      </c>
      <c r="E434">
        <v>0</v>
      </c>
      <c r="F434" s="1">
        <f t="shared" si="19"/>
        <v>9034.3313988520113</v>
      </c>
    </row>
    <row r="435" spans="1:6" x14ac:dyDescent="0.3">
      <c r="A435" s="3">
        <v>46488</v>
      </c>
      <c r="B435" s="1">
        <f t="shared" si="20"/>
        <v>9034.3313988520113</v>
      </c>
      <c r="C435">
        <f t="shared" si="21"/>
        <v>3.5342465753424658E-4</v>
      </c>
      <c r="D435" s="1">
        <f>B435*Table1[[#This Row],[Дневная ставка]]</f>
        <v>3.1929554806901628</v>
      </c>
      <c r="E435">
        <v>0</v>
      </c>
      <c r="F435" s="1">
        <f t="shared" si="19"/>
        <v>9037.5243543327015</v>
      </c>
    </row>
    <row r="436" spans="1:6" x14ac:dyDescent="0.3">
      <c r="A436" s="3">
        <v>46489</v>
      </c>
      <c r="B436" s="1">
        <f t="shared" si="20"/>
        <v>9037.5243543327015</v>
      </c>
      <c r="C436">
        <f t="shared" si="21"/>
        <v>3.5342465753424658E-4</v>
      </c>
      <c r="D436" s="1">
        <f>B436*Table1[[#This Row],[Дневная ставка]]</f>
        <v>3.1940839498874478</v>
      </c>
      <c r="E436">
        <v>0</v>
      </c>
      <c r="F436" s="1">
        <f t="shared" si="19"/>
        <v>9040.718438282589</v>
      </c>
    </row>
    <row r="437" spans="1:6" x14ac:dyDescent="0.3">
      <c r="A437" s="3">
        <v>46490</v>
      </c>
      <c r="B437" s="1">
        <f t="shared" si="20"/>
        <v>9040.718438282589</v>
      </c>
      <c r="C437">
        <f t="shared" si="21"/>
        <v>3.5342465753424658E-4</v>
      </c>
      <c r="D437" s="1">
        <f>B437*Table1[[#This Row],[Дневная ставка]]</f>
        <v>3.1952128179135726</v>
      </c>
      <c r="E437">
        <v>0</v>
      </c>
      <c r="F437" s="1">
        <f t="shared" si="19"/>
        <v>9043.9136511005017</v>
      </c>
    </row>
    <row r="438" spans="1:6" x14ac:dyDescent="0.3">
      <c r="A438" s="3">
        <v>46491</v>
      </c>
      <c r="B438" s="1">
        <f t="shared" si="20"/>
        <v>9043.9136511005017</v>
      </c>
      <c r="C438">
        <f t="shared" si="21"/>
        <v>3.5342465753424658E-4</v>
      </c>
      <c r="D438" s="1">
        <f>B438*Table1[[#This Row],[Дневная ставка]]</f>
        <v>3.1963420849094923</v>
      </c>
      <c r="E438">
        <v>0</v>
      </c>
      <c r="F438" s="1">
        <f t="shared" si="19"/>
        <v>9047.1099931854114</v>
      </c>
    </row>
    <row r="439" spans="1:6" x14ac:dyDescent="0.3">
      <c r="A439" s="3">
        <v>46492</v>
      </c>
      <c r="B439" s="1">
        <f t="shared" si="20"/>
        <v>9047.1099931854114</v>
      </c>
      <c r="C439">
        <f t="shared" si="21"/>
        <v>3.5342465753424658E-4</v>
      </c>
      <c r="D439" s="1">
        <f>B439*Table1[[#This Row],[Дневная ставка]]</f>
        <v>3.1974717510162138</v>
      </c>
      <c r="E439">
        <v>0</v>
      </c>
      <c r="F439" s="1">
        <f t="shared" si="19"/>
        <v>9050.307464936428</v>
      </c>
    </row>
    <row r="440" spans="1:6" x14ac:dyDescent="0.3">
      <c r="A440" s="3">
        <v>46493</v>
      </c>
      <c r="B440" s="1">
        <f t="shared" si="20"/>
        <v>9050.307464936428</v>
      </c>
      <c r="C440">
        <f t="shared" si="21"/>
        <v>3.5342465753424658E-4</v>
      </c>
      <c r="D440" s="1">
        <f>B440*Table1[[#This Row],[Дневная ставка]]</f>
        <v>3.1986018163747922</v>
      </c>
      <c r="E440">
        <v>0</v>
      </c>
      <c r="F440" s="1">
        <f t="shared" si="19"/>
        <v>9053.5060667528032</v>
      </c>
    </row>
    <row r="441" spans="1:6" x14ac:dyDescent="0.3">
      <c r="A441" s="3">
        <v>46494</v>
      </c>
      <c r="B441" s="1">
        <f t="shared" si="20"/>
        <v>9053.5060667528032</v>
      </c>
      <c r="C441">
        <f t="shared" si="21"/>
        <v>3.5342465753424658E-4</v>
      </c>
      <c r="D441" s="1">
        <f>B441*Table1[[#This Row],[Дневная ставка]]</f>
        <v>3.1997322811263333</v>
      </c>
      <c r="E441">
        <v>0</v>
      </c>
      <c r="F441" s="1">
        <f t="shared" si="19"/>
        <v>9056.705799033929</v>
      </c>
    </row>
    <row r="442" spans="1:6" x14ac:dyDescent="0.3">
      <c r="A442" s="3">
        <v>46495</v>
      </c>
      <c r="B442" s="1">
        <f t="shared" si="20"/>
        <v>9056.705799033929</v>
      </c>
      <c r="C442">
        <f t="shared" si="21"/>
        <v>3.5342465753424658E-4</v>
      </c>
      <c r="D442" s="1">
        <f>B442*Table1[[#This Row],[Дневная ставка]]</f>
        <v>3.2008631454119914</v>
      </c>
      <c r="E442">
        <v>0</v>
      </c>
      <c r="F442" s="1">
        <f t="shared" si="19"/>
        <v>9059.9066621793409</v>
      </c>
    </row>
    <row r="443" spans="1:6" x14ac:dyDescent="0.3">
      <c r="A443" s="3">
        <v>46496</v>
      </c>
      <c r="B443" s="1">
        <f t="shared" si="20"/>
        <v>9059.9066621793409</v>
      </c>
      <c r="C443">
        <f t="shared" si="21"/>
        <v>3.5342465753424658E-4</v>
      </c>
      <c r="D443" s="1">
        <f>B443*Table1[[#This Row],[Дневная ставка]]</f>
        <v>3.2019944093729724</v>
      </c>
      <c r="E443">
        <v>650.05999999999995</v>
      </c>
      <c r="F443" s="1">
        <f t="shared" si="19"/>
        <v>8413.0486565887149</v>
      </c>
    </row>
    <row r="444" spans="1:6" x14ac:dyDescent="0.3">
      <c r="A444" s="3">
        <v>46497</v>
      </c>
      <c r="B444" s="1">
        <f t="shared" si="20"/>
        <v>8413.0486565887149</v>
      </c>
      <c r="C444">
        <f t="shared" si="21"/>
        <v>3.5342465753424658E-4</v>
      </c>
      <c r="D444" s="1">
        <f>B444*Table1[[#This Row],[Дневная ставка]]</f>
        <v>2.9733788402738197</v>
      </c>
      <c r="E444">
        <v>0</v>
      </c>
      <c r="F444" s="1">
        <f t="shared" si="19"/>
        <v>8416.0220354289886</v>
      </c>
    </row>
    <row r="445" spans="1:6" x14ac:dyDescent="0.3">
      <c r="A445" s="3">
        <v>46498</v>
      </c>
      <c r="B445" s="1">
        <f t="shared" si="20"/>
        <v>8416.0220354289886</v>
      </c>
      <c r="C445">
        <f t="shared" si="21"/>
        <v>3.5342465753424658E-4</v>
      </c>
      <c r="D445" s="1">
        <f>B445*Table1[[#This Row],[Дневная ставка]]</f>
        <v>2.9744297056721631</v>
      </c>
      <c r="E445">
        <v>0</v>
      </c>
      <c r="F445" s="1">
        <f t="shared" si="19"/>
        <v>8418.99646513466</v>
      </c>
    </row>
    <row r="446" spans="1:6" x14ac:dyDescent="0.3">
      <c r="A446" s="3">
        <v>46499</v>
      </c>
      <c r="B446" s="1">
        <f t="shared" si="20"/>
        <v>8418.99646513466</v>
      </c>
      <c r="C446">
        <f t="shared" si="21"/>
        <v>3.5342465753424658E-4</v>
      </c>
      <c r="D446" s="1">
        <f>B446*Table1[[#This Row],[Дневная ставка]]</f>
        <v>2.9754809424722497</v>
      </c>
      <c r="E446">
        <v>0</v>
      </c>
      <c r="F446" s="1">
        <f t="shared" si="19"/>
        <v>8421.9719460771321</v>
      </c>
    </row>
    <row r="447" spans="1:6" x14ac:dyDescent="0.3">
      <c r="A447" s="3">
        <v>46500</v>
      </c>
      <c r="B447" s="1">
        <f t="shared" si="20"/>
        <v>8421.9719460771321</v>
      </c>
      <c r="C447">
        <f t="shared" si="21"/>
        <v>3.5342465753424658E-4</v>
      </c>
      <c r="D447" s="1">
        <f>B447*Table1[[#This Row],[Дневная ставка]]</f>
        <v>2.9765325508053428</v>
      </c>
      <c r="E447">
        <v>0</v>
      </c>
      <c r="F447" s="1">
        <f t="shared" si="19"/>
        <v>8424.9484786279372</v>
      </c>
    </row>
    <row r="448" spans="1:6" x14ac:dyDescent="0.3">
      <c r="A448" s="3">
        <v>46501</v>
      </c>
      <c r="B448" s="1">
        <f t="shared" si="20"/>
        <v>8424.9484786279372</v>
      </c>
      <c r="C448">
        <f t="shared" si="21"/>
        <v>3.5342465753424658E-4</v>
      </c>
      <c r="D448" s="1">
        <f>B448*Table1[[#This Row],[Дневная ставка]]</f>
        <v>2.9775845308027504</v>
      </c>
      <c r="E448">
        <v>0</v>
      </c>
      <c r="F448" s="1">
        <f t="shared" si="19"/>
        <v>8427.9260631587404</v>
      </c>
    </row>
    <row r="449" spans="1:6" x14ac:dyDescent="0.3">
      <c r="A449" s="3">
        <v>46502</v>
      </c>
      <c r="B449" s="1">
        <f t="shared" si="20"/>
        <v>8427.9260631587404</v>
      </c>
      <c r="C449">
        <f t="shared" si="21"/>
        <v>3.5342465753424658E-4</v>
      </c>
      <c r="D449" s="1">
        <f>B449*Table1[[#This Row],[Дневная ставка]]</f>
        <v>2.9786368825958287</v>
      </c>
      <c r="E449">
        <v>0</v>
      </c>
      <c r="F449" s="1">
        <f t="shared" si="19"/>
        <v>8430.9047000413357</v>
      </c>
    </row>
    <row r="450" spans="1:6" x14ac:dyDescent="0.3">
      <c r="A450" s="3">
        <v>46503</v>
      </c>
      <c r="B450" s="1">
        <f t="shared" si="20"/>
        <v>8430.9047000413357</v>
      </c>
      <c r="C450">
        <f t="shared" si="21"/>
        <v>3.5342465753424658E-4</v>
      </c>
      <c r="D450" s="1">
        <f>B450*Table1[[#This Row],[Дневная ставка]]</f>
        <v>2.9796896063159788</v>
      </c>
      <c r="E450">
        <v>0</v>
      </c>
      <c r="F450" s="1">
        <f t="shared" si="19"/>
        <v>8433.8843896476519</v>
      </c>
    </row>
    <row r="451" spans="1:6" x14ac:dyDescent="0.3">
      <c r="A451" s="3">
        <v>46504</v>
      </c>
      <c r="B451" s="1">
        <f t="shared" si="20"/>
        <v>8433.8843896476519</v>
      </c>
      <c r="C451">
        <f t="shared" si="21"/>
        <v>3.5342465753424658E-4</v>
      </c>
      <c r="D451" s="1">
        <f>B451*Table1[[#This Row],[Дневная ставка]]</f>
        <v>2.9807427020946498</v>
      </c>
      <c r="E451">
        <v>0</v>
      </c>
      <c r="F451" s="1">
        <f t="shared" ref="F451:F514" si="22">B451+D451-E451</f>
        <v>8436.865132349747</v>
      </c>
    </row>
    <row r="452" spans="1:6" x14ac:dyDescent="0.3">
      <c r="A452" s="3">
        <v>46505</v>
      </c>
      <c r="B452" s="1">
        <f t="shared" ref="B452:B515" si="23">F451</f>
        <v>8436.865132349747</v>
      </c>
      <c r="C452">
        <f t="shared" si="21"/>
        <v>3.5342465753424658E-4</v>
      </c>
      <c r="D452" s="1">
        <f>B452*Table1[[#This Row],[Дневная ставка]]</f>
        <v>2.9817961700633355</v>
      </c>
      <c r="E452">
        <v>0</v>
      </c>
      <c r="F452" s="1">
        <f t="shared" si="22"/>
        <v>8439.8469285198098</v>
      </c>
    </row>
    <row r="453" spans="1:6" x14ac:dyDescent="0.3">
      <c r="A453" s="3">
        <v>46506</v>
      </c>
      <c r="B453" s="1">
        <f t="shared" si="23"/>
        <v>8439.8469285198098</v>
      </c>
      <c r="C453">
        <f t="shared" si="21"/>
        <v>3.5342465753424658E-4</v>
      </c>
      <c r="D453" s="1">
        <f>B453*Table1[[#This Row],[Дневная ставка]]</f>
        <v>2.9828500103535767</v>
      </c>
      <c r="E453">
        <v>0</v>
      </c>
      <c r="F453" s="1">
        <f t="shared" si="22"/>
        <v>8442.8297785301638</v>
      </c>
    </row>
    <row r="454" spans="1:6" x14ac:dyDescent="0.3">
      <c r="A454" s="3">
        <v>46507</v>
      </c>
      <c r="B454" s="1">
        <f t="shared" si="23"/>
        <v>8442.8297785301638</v>
      </c>
      <c r="C454">
        <f t="shared" si="21"/>
        <v>3.5342465753424658E-4</v>
      </c>
      <c r="D454" s="1">
        <f>B454*Table1[[#This Row],[Дневная ставка]]</f>
        <v>2.9839042230969621</v>
      </c>
      <c r="E454">
        <v>0</v>
      </c>
      <c r="F454" s="1">
        <f t="shared" si="22"/>
        <v>8445.8136827532617</v>
      </c>
    </row>
    <row r="455" spans="1:6" x14ac:dyDescent="0.3">
      <c r="A455" s="3">
        <v>46508</v>
      </c>
      <c r="B455" s="1">
        <f t="shared" si="23"/>
        <v>8445.8136827532617</v>
      </c>
      <c r="C455">
        <f t="shared" si="21"/>
        <v>3.5342465753424658E-4</v>
      </c>
      <c r="D455" s="1">
        <f>B455*Table1[[#This Row],[Дневная ставка]]</f>
        <v>2.9849588084251253</v>
      </c>
      <c r="E455">
        <v>0</v>
      </c>
      <c r="F455" s="1">
        <f t="shared" si="22"/>
        <v>8448.798641561687</v>
      </c>
    </row>
    <row r="456" spans="1:6" x14ac:dyDescent="0.3">
      <c r="A456" s="3">
        <v>46509</v>
      </c>
      <c r="B456" s="1">
        <f t="shared" si="23"/>
        <v>8448.798641561687</v>
      </c>
      <c r="C456">
        <f t="shared" si="21"/>
        <v>3.5342465753424658E-4</v>
      </c>
      <c r="D456" s="1">
        <f>B456*Table1[[#This Row],[Дневная ставка]]</f>
        <v>2.986013766469747</v>
      </c>
      <c r="E456">
        <v>0</v>
      </c>
      <c r="F456" s="1">
        <f t="shared" si="22"/>
        <v>8451.7846553281561</v>
      </c>
    </row>
    <row r="457" spans="1:6" x14ac:dyDescent="0.3">
      <c r="A457" s="3">
        <v>46510</v>
      </c>
      <c r="B457" s="1">
        <f t="shared" si="23"/>
        <v>8451.7846553281561</v>
      </c>
      <c r="C457">
        <f t="shared" si="21"/>
        <v>3.5342465753424658E-4</v>
      </c>
      <c r="D457" s="1">
        <f>B457*Table1[[#This Row],[Дневная ставка]]</f>
        <v>2.987069097362554</v>
      </c>
      <c r="E457">
        <v>0</v>
      </c>
      <c r="F457" s="1">
        <f t="shared" si="22"/>
        <v>8454.7717244255182</v>
      </c>
    </row>
    <row r="458" spans="1:6" x14ac:dyDescent="0.3">
      <c r="A458" s="3">
        <v>46511</v>
      </c>
      <c r="B458" s="1">
        <f t="shared" si="23"/>
        <v>8454.7717244255182</v>
      </c>
      <c r="C458">
        <f t="shared" si="21"/>
        <v>3.5342465753424658E-4</v>
      </c>
      <c r="D458" s="1">
        <f>B458*Table1[[#This Row],[Дневная ставка]]</f>
        <v>2.9881248012353203</v>
      </c>
      <c r="E458">
        <v>0</v>
      </c>
      <c r="F458" s="1">
        <f t="shared" si="22"/>
        <v>8457.7598492267534</v>
      </c>
    </row>
    <row r="459" spans="1:6" x14ac:dyDescent="0.3">
      <c r="A459" s="3">
        <v>46512</v>
      </c>
      <c r="B459" s="1">
        <f t="shared" si="23"/>
        <v>8457.7598492267534</v>
      </c>
      <c r="C459">
        <f t="shared" si="21"/>
        <v>3.5342465753424658E-4</v>
      </c>
      <c r="D459" s="1">
        <f>B459*Table1[[#This Row],[Дневная ставка]]</f>
        <v>2.9891808782198663</v>
      </c>
      <c r="E459">
        <v>0</v>
      </c>
      <c r="F459" s="1">
        <f t="shared" si="22"/>
        <v>8460.7490301049729</v>
      </c>
    </row>
    <row r="460" spans="1:6" x14ac:dyDescent="0.3">
      <c r="A460" s="3">
        <v>46513</v>
      </c>
      <c r="B460" s="1">
        <f t="shared" si="23"/>
        <v>8460.7490301049729</v>
      </c>
      <c r="C460">
        <f t="shared" si="21"/>
        <v>3.5342465753424658E-4</v>
      </c>
      <c r="D460" s="1">
        <f>B460*Table1[[#This Row],[Дневная ставка]]</f>
        <v>2.990237328448059</v>
      </c>
      <c r="E460">
        <v>0</v>
      </c>
      <c r="F460" s="1">
        <f t="shared" si="22"/>
        <v>8463.7392674334205</v>
      </c>
    </row>
    <row r="461" spans="1:6" x14ac:dyDescent="0.3">
      <c r="A461" s="3">
        <v>46514</v>
      </c>
      <c r="B461" s="1">
        <f t="shared" si="23"/>
        <v>8463.7392674334205</v>
      </c>
      <c r="C461">
        <f t="shared" si="21"/>
        <v>3.5342465753424658E-4</v>
      </c>
      <c r="D461" s="1">
        <f>B461*Table1[[#This Row],[Дневная ставка]]</f>
        <v>2.9912941520518119</v>
      </c>
      <c r="E461">
        <v>0</v>
      </c>
      <c r="F461" s="1">
        <f t="shared" si="22"/>
        <v>8466.730561585473</v>
      </c>
    </row>
    <row r="462" spans="1:6" x14ac:dyDescent="0.3">
      <c r="A462" s="3">
        <v>46515</v>
      </c>
      <c r="B462" s="1">
        <f t="shared" si="23"/>
        <v>8466.730561585473</v>
      </c>
      <c r="C462">
        <f t="shared" si="21"/>
        <v>3.5342465753424658E-4</v>
      </c>
      <c r="D462" s="1">
        <f>B462*Table1[[#This Row],[Дневная ставка]]</f>
        <v>2.9923513491630849</v>
      </c>
      <c r="E462">
        <v>0</v>
      </c>
      <c r="F462" s="1">
        <f t="shared" si="22"/>
        <v>8469.722912934636</v>
      </c>
    </row>
    <row r="463" spans="1:6" x14ac:dyDescent="0.3">
      <c r="A463" s="3">
        <v>46516</v>
      </c>
      <c r="B463" s="1">
        <f t="shared" si="23"/>
        <v>8469.722912934636</v>
      </c>
      <c r="C463">
        <f t="shared" si="21"/>
        <v>3.5342465753424658E-4</v>
      </c>
      <c r="D463" s="1">
        <f>B463*Table1[[#This Row],[Дневная ставка]]</f>
        <v>2.9934089199138851</v>
      </c>
      <c r="E463">
        <v>0</v>
      </c>
      <c r="F463" s="1">
        <f t="shared" si="22"/>
        <v>8472.7163218545502</v>
      </c>
    </row>
    <row r="464" spans="1:6" x14ac:dyDescent="0.3">
      <c r="A464" s="3">
        <v>46517</v>
      </c>
      <c r="B464" s="1">
        <f t="shared" si="23"/>
        <v>8472.7163218545502</v>
      </c>
      <c r="C464">
        <f t="shared" si="21"/>
        <v>3.5342465753424658E-4</v>
      </c>
      <c r="D464" s="1">
        <f>B464*Table1[[#This Row],[Дневная ставка]]</f>
        <v>2.9944668644362658</v>
      </c>
      <c r="E464">
        <v>0</v>
      </c>
      <c r="F464" s="1">
        <f t="shared" si="22"/>
        <v>8475.7107887189868</v>
      </c>
    </row>
    <row r="465" spans="1:6" x14ac:dyDescent="0.3">
      <c r="A465" s="3">
        <v>46518</v>
      </c>
      <c r="B465" s="1">
        <f t="shared" si="23"/>
        <v>8475.7107887189868</v>
      </c>
      <c r="C465">
        <f t="shared" si="21"/>
        <v>3.5342465753424658E-4</v>
      </c>
      <c r="D465" s="1">
        <f>B465*Table1[[#This Row],[Дневная ставка]]</f>
        <v>2.9955251828623268</v>
      </c>
      <c r="E465">
        <v>0</v>
      </c>
      <c r="F465" s="1">
        <f t="shared" si="22"/>
        <v>8478.7063139018483</v>
      </c>
    </row>
    <row r="466" spans="1:6" x14ac:dyDescent="0.3">
      <c r="A466" s="3">
        <v>46519</v>
      </c>
      <c r="B466" s="1">
        <f t="shared" si="23"/>
        <v>8478.7063139018483</v>
      </c>
      <c r="C466">
        <f t="shared" si="21"/>
        <v>3.5342465753424658E-4</v>
      </c>
      <c r="D466" s="1">
        <f>B466*Table1[[#This Row],[Дневная ставка]]</f>
        <v>2.9965838753242151</v>
      </c>
      <c r="E466">
        <v>0</v>
      </c>
      <c r="F466" s="1">
        <f t="shared" si="22"/>
        <v>8481.7028977771733</v>
      </c>
    </row>
    <row r="467" spans="1:6" x14ac:dyDescent="0.3">
      <c r="A467" s="3">
        <v>46520</v>
      </c>
      <c r="B467" s="1">
        <f t="shared" si="23"/>
        <v>8481.7028977771733</v>
      </c>
      <c r="C467">
        <f t="shared" si="21"/>
        <v>3.5342465753424658E-4</v>
      </c>
      <c r="D467" s="1">
        <f>B467*Table1[[#This Row],[Дневная ставка]]</f>
        <v>2.9976429419541244</v>
      </c>
      <c r="E467">
        <v>0</v>
      </c>
      <c r="F467" s="1">
        <f t="shared" si="22"/>
        <v>8484.7005407191282</v>
      </c>
    </row>
    <row r="468" spans="1:6" x14ac:dyDescent="0.3">
      <c r="A468" s="3">
        <v>46521</v>
      </c>
      <c r="B468" s="1">
        <f t="shared" si="23"/>
        <v>8484.7005407191282</v>
      </c>
      <c r="C468">
        <f t="shared" ref="C468:C531" si="24">(12.9%/365)</f>
        <v>3.5342465753424658E-4</v>
      </c>
      <c r="D468" s="1">
        <f>B468*Table1[[#This Row],[Дневная ставка]]</f>
        <v>2.9987023828842947</v>
      </c>
      <c r="E468">
        <v>0</v>
      </c>
      <c r="F468" s="1">
        <f t="shared" si="22"/>
        <v>8487.6992431020117</v>
      </c>
    </row>
    <row r="469" spans="1:6" x14ac:dyDescent="0.3">
      <c r="A469" s="3">
        <v>46522</v>
      </c>
      <c r="B469" s="1">
        <f t="shared" si="23"/>
        <v>8487.6992431020117</v>
      </c>
      <c r="C469">
        <f t="shared" si="24"/>
        <v>3.5342465753424658E-4</v>
      </c>
      <c r="D469" s="1">
        <f>B469*Table1[[#This Row],[Дневная ставка]]</f>
        <v>2.9997621982470126</v>
      </c>
      <c r="E469">
        <v>0</v>
      </c>
      <c r="F469" s="1">
        <f t="shared" si="22"/>
        <v>8490.6990053002592</v>
      </c>
    </row>
    <row r="470" spans="1:6" x14ac:dyDescent="0.3">
      <c r="A470" s="3">
        <v>46523</v>
      </c>
      <c r="B470" s="1">
        <f t="shared" si="23"/>
        <v>8490.6990053002592</v>
      </c>
      <c r="C470">
        <f t="shared" si="24"/>
        <v>3.5342465753424658E-4</v>
      </c>
      <c r="D470" s="1">
        <f>B470*Table1[[#This Row],[Дневная ставка]]</f>
        <v>3.0008223881746123</v>
      </c>
      <c r="E470">
        <v>0</v>
      </c>
      <c r="F470" s="1">
        <f t="shared" si="22"/>
        <v>8493.6998276884333</v>
      </c>
    </row>
    <row r="471" spans="1:6" x14ac:dyDescent="0.3">
      <c r="A471" s="3">
        <v>46524</v>
      </c>
      <c r="B471" s="1">
        <f t="shared" si="23"/>
        <v>8493.6998276884333</v>
      </c>
      <c r="C471">
        <f t="shared" si="24"/>
        <v>3.5342465753424658E-4</v>
      </c>
      <c r="D471" s="1">
        <f>B471*Table1[[#This Row],[Дневная ставка]]</f>
        <v>3.0018829527994737</v>
      </c>
      <c r="E471">
        <v>0</v>
      </c>
      <c r="F471" s="1">
        <f t="shared" si="22"/>
        <v>8496.7017106412331</v>
      </c>
    </row>
    <row r="472" spans="1:6" x14ac:dyDescent="0.3">
      <c r="A472" s="3">
        <v>46525</v>
      </c>
      <c r="B472" s="1">
        <f t="shared" si="23"/>
        <v>8496.7017106412331</v>
      </c>
      <c r="C472">
        <f t="shared" si="24"/>
        <v>3.5342465753424658E-4</v>
      </c>
      <c r="D472" s="1">
        <f>B472*Table1[[#This Row],[Дневная ставка]]</f>
        <v>3.002943892254025</v>
      </c>
      <c r="E472">
        <v>0</v>
      </c>
      <c r="F472" s="1">
        <f t="shared" si="22"/>
        <v>8499.704654533487</v>
      </c>
    </row>
    <row r="473" spans="1:6" x14ac:dyDescent="0.3">
      <c r="A473" s="3">
        <v>46526</v>
      </c>
      <c r="B473" s="1">
        <f t="shared" si="23"/>
        <v>8499.704654533487</v>
      </c>
      <c r="C473">
        <f t="shared" si="24"/>
        <v>3.5342465753424658E-4</v>
      </c>
      <c r="D473" s="1">
        <f>B473*Table1[[#This Row],[Дневная ставка]]</f>
        <v>3.0040052066707394</v>
      </c>
      <c r="E473">
        <v>650.05999999999995</v>
      </c>
      <c r="F473" s="1">
        <f t="shared" si="22"/>
        <v>7852.6486597401581</v>
      </c>
    </row>
    <row r="474" spans="1:6" x14ac:dyDescent="0.3">
      <c r="A474" s="3">
        <v>46527</v>
      </c>
      <c r="B474" s="1">
        <f t="shared" si="23"/>
        <v>7852.6486597401581</v>
      </c>
      <c r="C474">
        <f t="shared" si="24"/>
        <v>3.5342465753424658E-4</v>
      </c>
      <c r="D474" s="1">
        <f>B474*Table1[[#This Row],[Дневная ставка]]</f>
        <v>2.7753196633054258</v>
      </c>
      <c r="E474">
        <v>0</v>
      </c>
      <c r="F474" s="1">
        <f t="shared" si="22"/>
        <v>7855.4239794034638</v>
      </c>
    </row>
    <row r="475" spans="1:6" x14ac:dyDescent="0.3">
      <c r="A475" s="3">
        <v>46528</v>
      </c>
      <c r="B475" s="1">
        <f t="shared" si="23"/>
        <v>7855.4239794034638</v>
      </c>
      <c r="C475">
        <f t="shared" si="24"/>
        <v>3.5342465753424658E-4</v>
      </c>
      <c r="D475" s="1">
        <f>B475*Table1[[#This Row],[Дневная ставка]]</f>
        <v>2.7763005297069778</v>
      </c>
      <c r="E475">
        <v>0</v>
      </c>
      <c r="F475" s="1">
        <f t="shared" si="22"/>
        <v>7858.2002799331703</v>
      </c>
    </row>
    <row r="476" spans="1:6" x14ac:dyDescent="0.3">
      <c r="A476" s="3">
        <v>46529</v>
      </c>
      <c r="B476" s="1">
        <f t="shared" si="23"/>
        <v>7858.2002799331703</v>
      </c>
      <c r="C476">
        <f t="shared" si="24"/>
        <v>3.5342465753424658E-4</v>
      </c>
      <c r="D476" s="1">
        <f>B476*Table1[[#This Row],[Дневная ставка]]</f>
        <v>2.7772817427709016</v>
      </c>
      <c r="E476">
        <v>0</v>
      </c>
      <c r="F476" s="1">
        <f t="shared" si="22"/>
        <v>7860.9775616759416</v>
      </c>
    </row>
    <row r="477" spans="1:6" x14ac:dyDescent="0.3">
      <c r="A477" s="3">
        <v>46530</v>
      </c>
      <c r="B477" s="1">
        <f t="shared" si="23"/>
        <v>7860.9775616759416</v>
      </c>
      <c r="C477">
        <f t="shared" si="24"/>
        <v>3.5342465753424658E-4</v>
      </c>
      <c r="D477" s="1">
        <f>B477*Table1[[#This Row],[Дневная ставка]]</f>
        <v>2.7782633026197163</v>
      </c>
      <c r="E477">
        <v>0</v>
      </c>
      <c r="F477" s="1">
        <f t="shared" si="22"/>
        <v>7863.7558249785616</v>
      </c>
    </row>
    <row r="478" spans="1:6" x14ac:dyDescent="0.3">
      <c r="A478" s="3">
        <v>46531</v>
      </c>
      <c r="B478" s="1">
        <f t="shared" si="23"/>
        <v>7863.7558249785616</v>
      </c>
      <c r="C478">
        <f t="shared" si="24"/>
        <v>3.5342465753424658E-4</v>
      </c>
      <c r="D478" s="1">
        <f>B478*Table1[[#This Row],[Дневная ставка]]</f>
        <v>2.779245209375985</v>
      </c>
      <c r="E478">
        <v>0</v>
      </c>
      <c r="F478" s="1">
        <f t="shared" si="22"/>
        <v>7866.5350701879379</v>
      </c>
    </row>
    <row r="479" spans="1:6" x14ac:dyDescent="0.3">
      <c r="A479" s="3">
        <v>46532</v>
      </c>
      <c r="B479" s="1">
        <f t="shared" si="23"/>
        <v>7866.5350701879379</v>
      </c>
      <c r="C479">
        <f t="shared" si="24"/>
        <v>3.5342465753424658E-4</v>
      </c>
      <c r="D479" s="1">
        <f>B479*Table1[[#This Row],[Дневная ставка]]</f>
        <v>2.7802274631623125</v>
      </c>
      <c r="E479">
        <v>0</v>
      </c>
      <c r="F479" s="1">
        <f t="shared" si="22"/>
        <v>7869.3152976511001</v>
      </c>
    </row>
    <row r="480" spans="1:6" x14ac:dyDescent="0.3">
      <c r="A480" s="3">
        <v>46533</v>
      </c>
      <c r="B480" s="1">
        <f t="shared" si="23"/>
        <v>7869.3152976511001</v>
      </c>
      <c r="C480">
        <f t="shared" si="24"/>
        <v>3.5342465753424658E-4</v>
      </c>
      <c r="D480" s="1">
        <f>B480*Table1[[#This Row],[Дневная ставка]]</f>
        <v>2.781210064101348</v>
      </c>
      <c r="E480">
        <v>0</v>
      </c>
      <c r="F480" s="1">
        <f t="shared" si="22"/>
        <v>7872.0965077152014</v>
      </c>
    </row>
    <row r="481" spans="1:6" x14ac:dyDescent="0.3">
      <c r="A481" s="3">
        <v>46534</v>
      </c>
      <c r="B481" s="1">
        <f t="shared" si="23"/>
        <v>7872.0965077152014</v>
      </c>
      <c r="C481">
        <f t="shared" si="24"/>
        <v>3.5342465753424658E-4</v>
      </c>
      <c r="D481" s="1">
        <f>B481*Table1[[#This Row],[Дневная ставка]]</f>
        <v>2.7821930123157834</v>
      </c>
      <c r="E481">
        <v>0</v>
      </c>
      <c r="F481" s="1">
        <f t="shared" si="22"/>
        <v>7874.8787007275168</v>
      </c>
    </row>
    <row r="482" spans="1:6" x14ac:dyDescent="0.3">
      <c r="A482" s="3">
        <v>46535</v>
      </c>
      <c r="B482" s="1">
        <f t="shared" si="23"/>
        <v>7874.8787007275168</v>
      </c>
      <c r="C482">
        <f t="shared" si="24"/>
        <v>3.5342465753424658E-4</v>
      </c>
      <c r="D482" s="1">
        <f>B482*Table1[[#This Row],[Дневная ставка]]</f>
        <v>2.7831763079283554</v>
      </c>
      <c r="E482">
        <v>0</v>
      </c>
      <c r="F482" s="1">
        <f t="shared" si="22"/>
        <v>7877.6618770354453</v>
      </c>
    </row>
    <row r="483" spans="1:6" x14ac:dyDescent="0.3">
      <c r="A483" s="3">
        <v>46536</v>
      </c>
      <c r="B483" s="1">
        <f t="shared" si="23"/>
        <v>7877.6618770354453</v>
      </c>
      <c r="C483">
        <f t="shared" si="24"/>
        <v>3.5342465753424658E-4</v>
      </c>
      <c r="D483" s="1">
        <f>B483*Table1[[#This Row],[Дневная ставка]]</f>
        <v>2.7841599510618424</v>
      </c>
      <c r="E483">
        <v>0</v>
      </c>
      <c r="F483" s="1">
        <f t="shared" si="22"/>
        <v>7880.4460369865074</v>
      </c>
    </row>
    <row r="484" spans="1:6" x14ac:dyDescent="0.3">
      <c r="A484" s="3">
        <v>46537</v>
      </c>
      <c r="B484" s="1">
        <f t="shared" si="23"/>
        <v>7880.4460369865074</v>
      </c>
      <c r="C484">
        <f t="shared" si="24"/>
        <v>3.5342465753424658E-4</v>
      </c>
      <c r="D484" s="1">
        <f>B484*Table1[[#This Row],[Дневная ставка]]</f>
        <v>2.7851439418390669</v>
      </c>
      <c r="E484">
        <v>0</v>
      </c>
      <c r="F484" s="1">
        <f t="shared" si="22"/>
        <v>7883.2311809283465</v>
      </c>
    </row>
    <row r="485" spans="1:6" x14ac:dyDescent="0.3">
      <c r="A485" s="3">
        <v>46538</v>
      </c>
      <c r="B485" s="1">
        <f t="shared" si="23"/>
        <v>7883.2311809283465</v>
      </c>
      <c r="C485">
        <f t="shared" si="24"/>
        <v>3.5342465753424658E-4</v>
      </c>
      <c r="D485" s="1">
        <f>B485*Table1[[#This Row],[Дневная ставка]]</f>
        <v>2.7861282803828953</v>
      </c>
      <c r="E485">
        <v>0</v>
      </c>
      <c r="F485" s="1">
        <f t="shared" si="22"/>
        <v>7886.0173092087298</v>
      </c>
    </row>
    <row r="486" spans="1:6" x14ac:dyDescent="0.3">
      <c r="A486" s="3">
        <v>46539</v>
      </c>
      <c r="B486" s="1">
        <f t="shared" si="23"/>
        <v>7886.0173092087298</v>
      </c>
      <c r="C486">
        <f t="shared" si="24"/>
        <v>3.5342465753424658E-4</v>
      </c>
      <c r="D486" s="1">
        <f>B486*Table1[[#This Row],[Дневная ставка]]</f>
        <v>2.787112966816236</v>
      </c>
      <c r="E486">
        <v>0</v>
      </c>
      <c r="F486" s="1">
        <f t="shared" si="22"/>
        <v>7888.8044221755463</v>
      </c>
    </row>
    <row r="487" spans="1:6" x14ac:dyDescent="0.3">
      <c r="A487" s="3">
        <v>46540</v>
      </c>
      <c r="B487" s="1">
        <f t="shared" si="23"/>
        <v>7888.8044221755463</v>
      </c>
      <c r="C487">
        <f t="shared" si="24"/>
        <v>3.5342465753424658E-4</v>
      </c>
      <c r="D487" s="1">
        <f>B487*Table1[[#This Row],[Дневная ставка]]</f>
        <v>2.7880980012620427</v>
      </c>
      <c r="E487">
        <v>0</v>
      </c>
      <c r="F487" s="1">
        <f t="shared" si="22"/>
        <v>7891.5925201768086</v>
      </c>
    </row>
    <row r="488" spans="1:6" x14ac:dyDescent="0.3">
      <c r="A488" s="3">
        <v>46541</v>
      </c>
      <c r="B488" s="1">
        <f t="shared" si="23"/>
        <v>7891.5925201768086</v>
      </c>
      <c r="C488">
        <f t="shared" si="24"/>
        <v>3.5342465753424658E-4</v>
      </c>
      <c r="D488" s="1">
        <f>B488*Table1[[#This Row],[Дневная ставка]]</f>
        <v>2.7890833838433107</v>
      </c>
      <c r="E488">
        <v>0</v>
      </c>
      <c r="F488" s="1">
        <f t="shared" si="22"/>
        <v>7894.3816035606524</v>
      </c>
    </row>
    <row r="489" spans="1:6" x14ac:dyDescent="0.3">
      <c r="A489" s="3">
        <v>46542</v>
      </c>
      <c r="B489" s="1">
        <f t="shared" si="23"/>
        <v>7894.3816035606524</v>
      </c>
      <c r="C489">
        <f t="shared" si="24"/>
        <v>3.5342465753424658E-4</v>
      </c>
      <c r="D489" s="1">
        <f>B489*Table1[[#This Row],[Дневная ставка]]</f>
        <v>2.7900691146830798</v>
      </c>
      <c r="E489">
        <v>0</v>
      </c>
      <c r="F489" s="1">
        <f t="shared" si="22"/>
        <v>7897.1716726753357</v>
      </c>
    </row>
    <row r="490" spans="1:6" x14ac:dyDescent="0.3">
      <c r="A490" s="3">
        <v>46543</v>
      </c>
      <c r="B490" s="1">
        <f t="shared" si="23"/>
        <v>7897.1716726753357</v>
      </c>
      <c r="C490">
        <f t="shared" si="24"/>
        <v>3.5342465753424658E-4</v>
      </c>
      <c r="D490" s="1">
        <f>B490*Table1[[#This Row],[Дневная ставка]]</f>
        <v>2.7910551939044339</v>
      </c>
      <c r="E490">
        <v>0</v>
      </c>
      <c r="F490" s="1">
        <f t="shared" si="22"/>
        <v>7899.9627278692406</v>
      </c>
    </row>
    <row r="491" spans="1:6" x14ac:dyDescent="0.3">
      <c r="A491" s="3">
        <v>46544</v>
      </c>
      <c r="B491" s="1">
        <f t="shared" si="23"/>
        <v>7899.9627278692406</v>
      </c>
      <c r="C491">
        <f t="shared" si="24"/>
        <v>3.5342465753424658E-4</v>
      </c>
      <c r="D491" s="1">
        <f>B491*Table1[[#This Row],[Дневная ставка]]</f>
        <v>2.7920416216304988</v>
      </c>
      <c r="E491">
        <v>0</v>
      </c>
      <c r="F491" s="1">
        <f t="shared" si="22"/>
        <v>7902.7547694908708</v>
      </c>
    </row>
    <row r="492" spans="1:6" x14ac:dyDescent="0.3">
      <c r="A492" s="3">
        <v>46545</v>
      </c>
      <c r="B492" s="1">
        <f t="shared" si="23"/>
        <v>7902.7547694908708</v>
      </c>
      <c r="C492">
        <f t="shared" si="24"/>
        <v>3.5342465753424658E-4</v>
      </c>
      <c r="D492" s="1">
        <f>B492*Table1[[#This Row],[Дневная ставка]]</f>
        <v>2.793028397984445</v>
      </c>
      <c r="E492">
        <v>0</v>
      </c>
      <c r="F492" s="1">
        <f t="shared" si="22"/>
        <v>7905.5477978888548</v>
      </c>
    </row>
    <row r="493" spans="1:6" x14ac:dyDescent="0.3">
      <c r="A493" s="3">
        <v>46546</v>
      </c>
      <c r="B493" s="1">
        <f t="shared" si="23"/>
        <v>7905.5477978888548</v>
      </c>
      <c r="C493">
        <f t="shared" si="24"/>
        <v>3.5342465753424658E-4</v>
      </c>
      <c r="D493" s="1">
        <f>B493*Table1[[#This Row],[Дневная ставка]]</f>
        <v>2.7940155230894859</v>
      </c>
      <c r="E493">
        <v>0</v>
      </c>
      <c r="F493" s="1">
        <f t="shared" si="22"/>
        <v>7908.3418134119447</v>
      </c>
    </row>
    <row r="494" spans="1:6" x14ac:dyDescent="0.3">
      <c r="A494" s="3">
        <v>46547</v>
      </c>
      <c r="B494" s="1">
        <f t="shared" si="23"/>
        <v>7908.3418134119447</v>
      </c>
      <c r="C494">
        <f t="shared" si="24"/>
        <v>3.5342465753424658E-4</v>
      </c>
      <c r="D494" s="1">
        <f>B494*Table1[[#This Row],[Дневная ставка]]</f>
        <v>2.7950029970688792</v>
      </c>
      <c r="E494">
        <v>0</v>
      </c>
      <c r="F494" s="1">
        <f t="shared" si="22"/>
        <v>7911.1368164090136</v>
      </c>
    </row>
    <row r="495" spans="1:6" x14ac:dyDescent="0.3">
      <c r="A495" s="3">
        <v>46548</v>
      </c>
      <c r="B495" s="1">
        <f t="shared" si="23"/>
        <v>7911.1368164090136</v>
      </c>
      <c r="C495">
        <f t="shared" si="24"/>
        <v>3.5342465753424658E-4</v>
      </c>
      <c r="D495" s="1">
        <f>B495*Table1[[#This Row],[Дневная ставка]]</f>
        <v>2.7959908200459256</v>
      </c>
      <c r="E495">
        <v>0</v>
      </c>
      <c r="F495" s="1">
        <f t="shared" si="22"/>
        <v>7913.9328072290591</v>
      </c>
    </row>
    <row r="496" spans="1:6" x14ac:dyDescent="0.3">
      <c r="A496" s="3">
        <v>46549</v>
      </c>
      <c r="B496" s="1">
        <f t="shared" si="23"/>
        <v>7913.9328072290591</v>
      </c>
      <c r="C496">
        <f t="shared" si="24"/>
        <v>3.5342465753424658E-4</v>
      </c>
      <c r="D496" s="1">
        <f>B496*Table1[[#This Row],[Дневная ставка]]</f>
        <v>2.7969789921439689</v>
      </c>
      <c r="E496">
        <v>0</v>
      </c>
      <c r="F496" s="1">
        <f t="shared" si="22"/>
        <v>7916.7297862212026</v>
      </c>
    </row>
    <row r="497" spans="1:6" x14ac:dyDescent="0.3">
      <c r="A497" s="3">
        <v>46550</v>
      </c>
      <c r="B497" s="1">
        <f t="shared" si="23"/>
        <v>7916.7297862212026</v>
      </c>
      <c r="C497">
        <f t="shared" si="24"/>
        <v>3.5342465753424658E-4</v>
      </c>
      <c r="D497" s="1">
        <f>B497*Table1[[#This Row],[Дневная ставка]]</f>
        <v>2.7979675134863977</v>
      </c>
      <c r="E497">
        <v>0</v>
      </c>
      <c r="F497" s="1">
        <f t="shared" si="22"/>
        <v>7919.5277537346892</v>
      </c>
    </row>
    <row r="498" spans="1:6" x14ac:dyDescent="0.3">
      <c r="A498" s="3">
        <v>46551</v>
      </c>
      <c r="B498" s="1">
        <f t="shared" si="23"/>
        <v>7919.5277537346892</v>
      </c>
      <c r="C498">
        <f t="shared" si="24"/>
        <v>3.5342465753424658E-4</v>
      </c>
      <c r="D498" s="1">
        <f>B498*Table1[[#This Row],[Дневная ставка]]</f>
        <v>2.7989563841966438</v>
      </c>
      <c r="E498">
        <v>0</v>
      </c>
      <c r="F498" s="1">
        <f t="shared" si="22"/>
        <v>7922.3267101188858</v>
      </c>
    </row>
    <row r="499" spans="1:6" x14ac:dyDescent="0.3">
      <c r="A499" s="3">
        <v>46552</v>
      </c>
      <c r="B499" s="1">
        <f t="shared" si="23"/>
        <v>7922.3267101188858</v>
      </c>
      <c r="C499">
        <f t="shared" si="24"/>
        <v>3.5342465753424658E-4</v>
      </c>
      <c r="D499" s="1">
        <f>B499*Table1[[#This Row],[Дневная ставка]]</f>
        <v>2.7999456043981814</v>
      </c>
      <c r="E499">
        <v>0</v>
      </c>
      <c r="F499" s="1">
        <f t="shared" si="22"/>
        <v>7925.1266557232839</v>
      </c>
    </row>
    <row r="500" spans="1:6" x14ac:dyDescent="0.3">
      <c r="A500" s="3">
        <v>46553</v>
      </c>
      <c r="B500" s="1">
        <f t="shared" si="23"/>
        <v>7925.1266557232839</v>
      </c>
      <c r="C500">
        <f t="shared" si="24"/>
        <v>3.5342465753424658E-4</v>
      </c>
      <c r="D500" s="1">
        <f>B500*Table1[[#This Row],[Дневная ставка]]</f>
        <v>2.8009351742145308</v>
      </c>
      <c r="E500">
        <v>0</v>
      </c>
      <c r="F500" s="1">
        <f t="shared" si="22"/>
        <v>7927.9275908974987</v>
      </c>
    </row>
    <row r="501" spans="1:6" x14ac:dyDescent="0.3">
      <c r="A501" s="3">
        <v>46554</v>
      </c>
      <c r="B501" s="1">
        <f t="shared" si="23"/>
        <v>7927.9275908974987</v>
      </c>
      <c r="C501">
        <f t="shared" si="24"/>
        <v>3.5342465753424658E-4</v>
      </c>
      <c r="D501" s="1">
        <f>B501*Table1[[#This Row],[Дневная ставка]]</f>
        <v>2.801925093769253</v>
      </c>
      <c r="E501">
        <v>0</v>
      </c>
      <c r="F501" s="1">
        <f t="shared" si="22"/>
        <v>7930.7295159912683</v>
      </c>
    </row>
    <row r="502" spans="1:6" x14ac:dyDescent="0.3">
      <c r="A502" s="3">
        <v>46555</v>
      </c>
      <c r="B502" s="1">
        <f t="shared" si="23"/>
        <v>7930.7295159912683</v>
      </c>
      <c r="C502">
        <f t="shared" si="24"/>
        <v>3.5342465753424658E-4</v>
      </c>
      <c r="D502" s="1">
        <f>B502*Table1[[#This Row],[Дневная ставка]]</f>
        <v>2.8029153631859551</v>
      </c>
      <c r="E502">
        <v>0</v>
      </c>
      <c r="F502" s="1">
        <f t="shared" si="22"/>
        <v>7933.5324313544543</v>
      </c>
    </row>
    <row r="503" spans="1:6" x14ac:dyDescent="0.3">
      <c r="A503" s="3">
        <v>46556</v>
      </c>
      <c r="B503" s="1">
        <f t="shared" si="23"/>
        <v>7933.5324313544543</v>
      </c>
      <c r="C503">
        <f t="shared" si="24"/>
        <v>3.5342465753424658E-4</v>
      </c>
      <c r="D503" s="1">
        <f>B503*Table1[[#This Row],[Дневная ставка]]</f>
        <v>2.8039059825882866</v>
      </c>
      <c r="E503">
        <v>0</v>
      </c>
      <c r="F503" s="1">
        <f t="shared" si="22"/>
        <v>7936.336337337043</v>
      </c>
    </row>
    <row r="504" spans="1:6" x14ac:dyDescent="0.3">
      <c r="A504" s="3">
        <v>46557</v>
      </c>
      <c r="B504" s="1">
        <f t="shared" si="23"/>
        <v>7936.336337337043</v>
      </c>
      <c r="C504">
        <f t="shared" si="24"/>
        <v>3.5342465753424658E-4</v>
      </c>
      <c r="D504" s="1">
        <f>B504*Table1[[#This Row],[Дневная ставка]]</f>
        <v>2.8048969520999414</v>
      </c>
      <c r="E504">
        <v>650.05999999999995</v>
      </c>
      <c r="F504" s="1">
        <f t="shared" si="22"/>
        <v>7289.0812342891422</v>
      </c>
    </row>
    <row r="505" spans="1:6" x14ac:dyDescent="0.3">
      <c r="A505" s="3">
        <v>46558</v>
      </c>
      <c r="B505" s="1">
        <f t="shared" si="23"/>
        <v>7289.0812342891422</v>
      </c>
      <c r="C505">
        <f t="shared" si="24"/>
        <v>3.5342465753424658E-4</v>
      </c>
      <c r="D505" s="1">
        <f>B505*Table1[[#This Row],[Дневная ставка]]</f>
        <v>2.5761410389679433</v>
      </c>
      <c r="E505">
        <v>0</v>
      </c>
      <c r="F505" s="1">
        <f t="shared" si="22"/>
        <v>7291.65737532811</v>
      </c>
    </row>
    <row r="506" spans="1:6" x14ac:dyDescent="0.3">
      <c r="A506" s="3">
        <v>46559</v>
      </c>
      <c r="B506" s="1">
        <f t="shared" si="23"/>
        <v>7291.65737532811</v>
      </c>
      <c r="C506">
        <f t="shared" si="24"/>
        <v>3.5342465753424658E-4</v>
      </c>
      <c r="D506" s="1">
        <f>B506*Table1[[#This Row],[Дневная ставка]]</f>
        <v>2.5770515107324008</v>
      </c>
      <c r="E506">
        <v>0</v>
      </c>
      <c r="F506" s="1">
        <f t="shared" si="22"/>
        <v>7294.2344268388424</v>
      </c>
    </row>
    <row r="507" spans="1:6" x14ac:dyDescent="0.3">
      <c r="A507" s="3">
        <v>46560</v>
      </c>
      <c r="B507" s="1">
        <f t="shared" si="23"/>
        <v>7294.2344268388424</v>
      </c>
      <c r="C507">
        <f t="shared" si="24"/>
        <v>3.5342465753424658E-4</v>
      </c>
      <c r="D507" s="1">
        <f>B507*Table1[[#This Row],[Дневная ставка]]</f>
        <v>2.5779623042800295</v>
      </c>
      <c r="E507">
        <v>0</v>
      </c>
      <c r="F507" s="1">
        <f t="shared" si="22"/>
        <v>7296.8123891431223</v>
      </c>
    </row>
    <row r="508" spans="1:6" x14ac:dyDescent="0.3">
      <c r="A508" s="3">
        <v>46561</v>
      </c>
      <c r="B508" s="1">
        <f t="shared" si="23"/>
        <v>7296.8123891431223</v>
      </c>
      <c r="C508">
        <f t="shared" si="24"/>
        <v>3.5342465753424658E-4</v>
      </c>
      <c r="D508" s="1">
        <f>B508*Table1[[#This Row],[Дневная ставка]]</f>
        <v>2.5788734197245557</v>
      </c>
      <c r="E508">
        <v>0</v>
      </c>
      <c r="F508" s="1">
        <f t="shared" si="22"/>
        <v>7299.3912625628473</v>
      </c>
    </row>
    <row r="509" spans="1:6" x14ac:dyDescent="0.3">
      <c r="A509" s="3">
        <v>46562</v>
      </c>
      <c r="B509" s="1">
        <f t="shared" si="23"/>
        <v>7299.3912625628473</v>
      </c>
      <c r="C509">
        <f t="shared" si="24"/>
        <v>3.5342465753424658E-4</v>
      </c>
      <c r="D509" s="1">
        <f>B509*Table1[[#This Row],[Дневная ставка]]</f>
        <v>2.5797848571797459</v>
      </c>
      <c r="E509">
        <v>0</v>
      </c>
      <c r="F509" s="1">
        <f t="shared" si="22"/>
        <v>7301.9710474200274</v>
      </c>
    </row>
    <row r="510" spans="1:6" x14ac:dyDescent="0.3">
      <c r="A510" s="3">
        <v>46563</v>
      </c>
      <c r="B510" s="1">
        <f t="shared" si="23"/>
        <v>7301.9710474200274</v>
      </c>
      <c r="C510">
        <f t="shared" si="24"/>
        <v>3.5342465753424658E-4</v>
      </c>
      <c r="D510" s="1">
        <f>B510*Table1[[#This Row],[Дневная ставка]]</f>
        <v>2.5806966167594072</v>
      </c>
      <c r="E510">
        <v>0</v>
      </c>
      <c r="F510" s="1">
        <f t="shared" si="22"/>
        <v>7304.5517440367867</v>
      </c>
    </row>
    <row r="511" spans="1:6" x14ac:dyDescent="0.3">
      <c r="A511" s="3">
        <v>46564</v>
      </c>
      <c r="B511" s="1">
        <f t="shared" si="23"/>
        <v>7304.5517440367867</v>
      </c>
      <c r="C511">
        <f t="shared" si="24"/>
        <v>3.5342465753424658E-4</v>
      </c>
      <c r="D511" s="1">
        <f>B511*Table1[[#This Row],[Дневная ставка]]</f>
        <v>2.581608698577385</v>
      </c>
      <c r="E511">
        <v>0</v>
      </c>
      <c r="F511" s="1">
        <f t="shared" si="22"/>
        <v>7307.1333527353645</v>
      </c>
    </row>
    <row r="512" spans="1:6" x14ac:dyDescent="0.3">
      <c r="A512" s="3">
        <v>46565</v>
      </c>
      <c r="B512" s="1">
        <f t="shared" si="23"/>
        <v>7307.1333527353645</v>
      </c>
      <c r="C512">
        <f t="shared" si="24"/>
        <v>3.5342465753424658E-4</v>
      </c>
      <c r="D512" s="1">
        <f>B512*Table1[[#This Row],[Дневная ставка]]</f>
        <v>2.5825211027475672</v>
      </c>
      <c r="E512">
        <v>0</v>
      </c>
      <c r="F512" s="1">
        <f t="shared" si="22"/>
        <v>7309.7158738381122</v>
      </c>
    </row>
    <row r="513" spans="1:6" x14ac:dyDescent="0.3">
      <c r="A513" s="3">
        <v>46566</v>
      </c>
      <c r="B513" s="1">
        <f t="shared" si="23"/>
        <v>7309.7158738381122</v>
      </c>
      <c r="C513">
        <f t="shared" si="24"/>
        <v>3.5342465753424658E-4</v>
      </c>
      <c r="D513" s="1">
        <f>B513*Table1[[#This Row],[Дневная ставка]]</f>
        <v>2.583433829383881</v>
      </c>
      <c r="E513">
        <v>0</v>
      </c>
      <c r="F513" s="1">
        <f t="shared" si="22"/>
        <v>7312.2993076674957</v>
      </c>
    </row>
    <row r="514" spans="1:6" x14ac:dyDescent="0.3">
      <c r="A514" s="3">
        <v>46567</v>
      </c>
      <c r="B514" s="1">
        <f t="shared" si="23"/>
        <v>7312.2993076674957</v>
      </c>
      <c r="C514">
        <f t="shared" si="24"/>
        <v>3.5342465753424658E-4</v>
      </c>
      <c r="D514" s="1">
        <f>B514*Table1[[#This Row],[Дневная ставка]]</f>
        <v>2.584346878600293</v>
      </c>
      <c r="E514">
        <v>0</v>
      </c>
      <c r="F514" s="1">
        <f t="shared" si="22"/>
        <v>7314.8836545460963</v>
      </c>
    </row>
    <row r="515" spans="1:6" x14ac:dyDescent="0.3">
      <c r="A515" s="3">
        <v>46568</v>
      </c>
      <c r="B515" s="1">
        <f t="shared" si="23"/>
        <v>7314.8836545460963</v>
      </c>
      <c r="C515">
        <f t="shared" si="24"/>
        <v>3.5342465753424658E-4</v>
      </c>
      <c r="D515" s="1">
        <f>B515*Table1[[#This Row],[Дневная ставка]]</f>
        <v>2.585260250510812</v>
      </c>
      <c r="E515">
        <v>0</v>
      </c>
      <c r="F515" s="1">
        <f t="shared" ref="F515:F578" si="25">B515+D515-E515</f>
        <v>7317.4689147966074</v>
      </c>
    </row>
    <row r="516" spans="1:6" x14ac:dyDescent="0.3">
      <c r="A516" s="3">
        <v>46569</v>
      </c>
      <c r="B516" s="1">
        <f t="shared" ref="B516:B579" si="26">F515</f>
        <v>7317.4689147966074</v>
      </c>
      <c r="C516">
        <f t="shared" si="24"/>
        <v>3.5342465753424658E-4</v>
      </c>
      <c r="D516" s="1">
        <f>B516*Table1[[#This Row],[Дневная ставка]]</f>
        <v>2.5861739452294858</v>
      </c>
      <c r="E516">
        <v>0</v>
      </c>
      <c r="F516" s="1">
        <f t="shared" si="25"/>
        <v>7320.0550887418367</v>
      </c>
    </row>
    <row r="517" spans="1:6" x14ac:dyDescent="0.3">
      <c r="A517" s="3">
        <v>46570</v>
      </c>
      <c r="B517" s="1">
        <f t="shared" si="26"/>
        <v>7320.0550887418367</v>
      </c>
      <c r="C517">
        <f t="shared" si="24"/>
        <v>3.5342465753424658E-4</v>
      </c>
      <c r="D517" s="1">
        <f>B517*Table1[[#This Row],[Дневная ставка]]</f>
        <v>2.5870879628704024</v>
      </c>
      <c r="E517">
        <v>0</v>
      </c>
      <c r="F517" s="1">
        <f t="shared" si="25"/>
        <v>7322.6421767047068</v>
      </c>
    </row>
    <row r="518" spans="1:6" x14ac:dyDescent="0.3">
      <c r="A518" s="3">
        <v>46571</v>
      </c>
      <c r="B518" s="1">
        <f t="shared" si="26"/>
        <v>7322.6421767047068</v>
      </c>
      <c r="C518">
        <f t="shared" si="24"/>
        <v>3.5342465753424658E-4</v>
      </c>
      <c r="D518" s="1">
        <f>B518*Table1[[#This Row],[Дневная ставка]]</f>
        <v>2.5880023035476909</v>
      </c>
      <c r="E518">
        <v>0</v>
      </c>
      <c r="F518" s="1">
        <f t="shared" si="25"/>
        <v>7325.2301790082547</v>
      </c>
    </row>
    <row r="519" spans="1:6" x14ac:dyDescent="0.3">
      <c r="A519" s="3">
        <v>46572</v>
      </c>
      <c r="B519" s="1">
        <f t="shared" si="26"/>
        <v>7325.2301790082547</v>
      </c>
      <c r="C519">
        <f t="shared" si="24"/>
        <v>3.5342465753424658E-4</v>
      </c>
      <c r="D519" s="1">
        <f>B519*Table1[[#This Row],[Дневная ставка]]</f>
        <v>2.5889169673755204</v>
      </c>
      <c r="E519">
        <v>0</v>
      </c>
      <c r="F519" s="1">
        <f t="shared" si="25"/>
        <v>7327.8190959756303</v>
      </c>
    </row>
    <row r="520" spans="1:6" x14ac:dyDescent="0.3">
      <c r="A520" s="3">
        <v>46573</v>
      </c>
      <c r="B520" s="1">
        <f t="shared" si="26"/>
        <v>7327.8190959756303</v>
      </c>
      <c r="C520">
        <f t="shared" si="24"/>
        <v>3.5342465753424658E-4</v>
      </c>
      <c r="D520" s="1">
        <f>B520*Table1[[#This Row],[Дневная ставка]]</f>
        <v>2.5898319544680994</v>
      </c>
      <c r="E520">
        <v>0</v>
      </c>
      <c r="F520" s="1">
        <f t="shared" si="25"/>
        <v>7330.4089279300988</v>
      </c>
    </row>
    <row r="521" spans="1:6" x14ac:dyDescent="0.3">
      <c r="A521" s="3">
        <v>46574</v>
      </c>
      <c r="B521" s="1">
        <f t="shared" si="26"/>
        <v>7330.4089279300988</v>
      </c>
      <c r="C521">
        <f t="shared" si="24"/>
        <v>3.5342465753424658E-4</v>
      </c>
      <c r="D521" s="1">
        <f>B521*Table1[[#This Row],[Дневная ставка]]</f>
        <v>2.590747264939679</v>
      </c>
      <c r="E521">
        <v>0</v>
      </c>
      <c r="F521" s="1">
        <f t="shared" si="25"/>
        <v>7332.9996751950384</v>
      </c>
    </row>
    <row r="522" spans="1:6" x14ac:dyDescent="0.3">
      <c r="A522" s="3">
        <v>46575</v>
      </c>
      <c r="B522" s="1">
        <f t="shared" si="26"/>
        <v>7332.9996751950384</v>
      </c>
      <c r="C522">
        <f t="shared" si="24"/>
        <v>3.5342465753424658E-4</v>
      </c>
      <c r="D522" s="1">
        <f>B522*Table1[[#This Row],[Дневная ставка]]</f>
        <v>2.591662898904548</v>
      </c>
      <c r="E522">
        <v>0</v>
      </c>
      <c r="F522" s="1">
        <f t="shared" si="25"/>
        <v>7335.5913380939428</v>
      </c>
    </row>
    <row r="523" spans="1:6" x14ac:dyDescent="0.3">
      <c r="A523" s="3">
        <v>46576</v>
      </c>
      <c r="B523" s="1">
        <f t="shared" si="26"/>
        <v>7335.5913380939428</v>
      </c>
      <c r="C523">
        <f t="shared" si="24"/>
        <v>3.5342465753424658E-4</v>
      </c>
      <c r="D523" s="1">
        <f>B523*Table1[[#This Row],[Дневная ставка]]</f>
        <v>2.5925788564770373</v>
      </c>
      <c r="E523">
        <v>0</v>
      </c>
      <c r="F523" s="1">
        <f t="shared" si="25"/>
        <v>7338.1839169504201</v>
      </c>
    </row>
    <row r="524" spans="1:6" x14ac:dyDescent="0.3">
      <c r="A524" s="3">
        <v>46577</v>
      </c>
      <c r="B524" s="1">
        <f t="shared" si="26"/>
        <v>7338.1839169504201</v>
      </c>
      <c r="C524">
        <f t="shared" si="24"/>
        <v>3.5342465753424658E-4</v>
      </c>
      <c r="D524" s="1">
        <f>B524*Table1[[#This Row],[Дневная ставка]]</f>
        <v>2.5934951377715185</v>
      </c>
      <c r="E524">
        <v>0</v>
      </c>
      <c r="F524" s="1">
        <f t="shared" si="25"/>
        <v>7340.7774120881913</v>
      </c>
    </row>
    <row r="525" spans="1:6" x14ac:dyDescent="0.3">
      <c r="A525" s="3">
        <v>46578</v>
      </c>
      <c r="B525" s="1">
        <f t="shared" si="26"/>
        <v>7340.7774120881913</v>
      </c>
      <c r="C525">
        <f t="shared" si="24"/>
        <v>3.5342465753424658E-4</v>
      </c>
      <c r="D525" s="1">
        <f>B525*Table1[[#This Row],[Дневная ставка]]</f>
        <v>2.5944117429024018</v>
      </c>
      <c r="E525">
        <v>0</v>
      </c>
      <c r="F525" s="1">
        <f t="shared" si="25"/>
        <v>7343.3718238310939</v>
      </c>
    </row>
    <row r="526" spans="1:6" x14ac:dyDescent="0.3">
      <c r="A526" s="3">
        <v>46579</v>
      </c>
      <c r="B526" s="1">
        <f t="shared" si="26"/>
        <v>7343.3718238310939</v>
      </c>
      <c r="C526">
        <f t="shared" si="24"/>
        <v>3.5342465753424658E-4</v>
      </c>
      <c r="D526" s="1">
        <f>B526*Table1[[#This Row],[Дневная ставка]]</f>
        <v>2.5953286719841402</v>
      </c>
      <c r="E526">
        <v>0</v>
      </c>
      <c r="F526" s="1">
        <f t="shared" si="25"/>
        <v>7345.9671525030781</v>
      </c>
    </row>
    <row r="527" spans="1:6" x14ac:dyDescent="0.3">
      <c r="A527" s="3">
        <v>46580</v>
      </c>
      <c r="B527" s="1">
        <f t="shared" si="26"/>
        <v>7345.9671525030781</v>
      </c>
      <c r="C527">
        <f t="shared" si="24"/>
        <v>3.5342465753424658E-4</v>
      </c>
      <c r="D527" s="1">
        <f>B527*Table1[[#This Row],[Дневная ставка]]</f>
        <v>2.5962459251312251</v>
      </c>
      <c r="E527">
        <v>0</v>
      </c>
      <c r="F527" s="1">
        <f t="shared" si="25"/>
        <v>7348.5633984282094</v>
      </c>
    </row>
    <row r="528" spans="1:6" x14ac:dyDescent="0.3">
      <c r="A528" s="3">
        <v>46581</v>
      </c>
      <c r="B528" s="1">
        <f t="shared" si="26"/>
        <v>7348.5633984282094</v>
      </c>
      <c r="C528">
        <f t="shared" si="24"/>
        <v>3.5342465753424658E-4</v>
      </c>
      <c r="D528" s="1">
        <f>B528*Table1[[#This Row],[Дневная ставка]]</f>
        <v>2.5971635024581889</v>
      </c>
      <c r="E528">
        <v>0</v>
      </c>
      <c r="F528" s="1">
        <f t="shared" si="25"/>
        <v>7351.1605619306674</v>
      </c>
    </row>
    <row r="529" spans="1:6" x14ac:dyDescent="0.3">
      <c r="A529" s="3">
        <v>46582</v>
      </c>
      <c r="B529" s="1">
        <f t="shared" si="26"/>
        <v>7351.1605619306674</v>
      </c>
      <c r="C529">
        <f t="shared" si="24"/>
        <v>3.5342465753424658E-4</v>
      </c>
      <c r="D529" s="1">
        <f>B529*Table1[[#This Row],[Дневная ставка]]</f>
        <v>2.5980814040796059</v>
      </c>
      <c r="E529">
        <v>0</v>
      </c>
      <c r="F529" s="1">
        <f t="shared" si="25"/>
        <v>7353.7586433347469</v>
      </c>
    </row>
    <row r="530" spans="1:6" x14ac:dyDescent="0.3">
      <c r="A530" s="3">
        <v>46583</v>
      </c>
      <c r="B530" s="1">
        <f t="shared" si="26"/>
        <v>7353.7586433347469</v>
      </c>
      <c r="C530">
        <f t="shared" si="24"/>
        <v>3.5342465753424658E-4</v>
      </c>
      <c r="D530" s="1">
        <f>B530*Table1[[#This Row],[Дневная ставка]]</f>
        <v>2.5989996301100886</v>
      </c>
      <c r="E530">
        <v>0</v>
      </c>
      <c r="F530" s="1">
        <f t="shared" si="25"/>
        <v>7356.3576429648574</v>
      </c>
    </row>
    <row r="531" spans="1:6" x14ac:dyDescent="0.3">
      <c r="A531" s="3">
        <v>46584</v>
      </c>
      <c r="B531" s="1">
        <f t="shared" si="26"/>
        <v>7356.3576429648574</v>
      </c>
      <c r="C531">
        <f t="shared" si="24"/>
        <v>3.5342465753424658E-4</v>
      </c>
      <c r="D531" s="1">
        <f>B531*Table1[[#This Row],[Дневная ставка]]</f>
        <v>2.5999181806642921</v>
      </c>
      <c r="E531">
        <v>0</v>
      </c>
      <c r="F531" s="1">
        <f t="shared" si="25"/>
        <v>7358.957561145522</v>
      </c>
    </row>
    <row r="532" spans="1:6" x14ac:dyDescent="0.3">
      <c r="A532" s="3">
        <v>46585</v>
      </c>
      <c r="B532" s="1">
        <f t="shared" si="26"/>
        <v>7358.957561145522</v>
      </c>
      <c r="C532">
        <f t="shared" ref="C532:C595" si="27">(12.9%/365)</f>
        <v>3.5342465753424658E-4</v>
      </c>
      <c r="D532" s="1">
        <f>B532*Table1[[#This Row],[Дневная ставка]]</f>
        <v>2.6008370558569105</v>
      </c>
      <c r="E532">
        <v>0</v>
      </c>
      <c r="F532" s="1">
        <f t="shared" si="25"/>
        <v>7361.5583982013786</v>
      </c>
    </row>
    <row r="533" spans="1:6" x14ac:dyDescent="0.3">
      <c r="A533" s="3">
        <v>46586</v>
      </c>
      <c r="B533" s="1">
        <f t="shared" si="26"/>
        <v>7361.5583982013786</v>
      </c>
      <c r="C533">
        <f t="shared" si="27"/>
        <v>3.5342465753424658E-4</v>
      </c>
      <c r="D533" s="1">
        <f>B533*Table1[[#This Row],[Дневная ставка]]</f>
        <v>2.601756255802679</v>
      </c>
      <c r="E533">
        <v>0</v>
      </c>
      <c r="F533" s="1">
        <f t="shared" si="25"/>
        <v>7364.1601544571813</v>
      </c>
    </row>
    <row r="534" spans="1:6" x14ac:dyDescent="0.3">
      <c r="A534" s="3">
        <v>46587</v>
      </c>
      <c r="B534" s="1">
        <f t="shared" si="26"/>
        <v>7364.1601544571813</v>
      </c>
      <c r="C534">
        <f t="shared" si="27"/>
        <v>3.5342465753424658E-4</v>
      </c>
      <c r="D534" s="1">
        <f>B534*Table1[[#This Row],[Дневная ставка]]</f>
        <v>2.6026757806163738</v>
      </c>
      <c r="E534">
        <v>650.05999999999995</v>
      </c>
      <c r="F534" s="1">
        <f t="shared" si="25"/>
        <v>6716.7028302377985</v>
      </c>
    </row>
    <row r="535" spans="1:6" x14ac:dyDescent="0.3">
      <c r="A535" s="3">
        <v>46588</v>
      </c>
      <c r="B535" s="1">
        <f t="shared" si="26"/>
        <v>6716.7028302377985</v>
      </c>
      <c r="C535">
        <f t="shared" si="27"/>
        <v>3.5342465753424658E-4</v>
      </c>
      <c r="D535" s="1">
        <f>B535*Table1[[#This Row],[Дневная ставка]]</f>
        <v>2.3738483975360989</v>
      </c>
      <c r="E535">
        <v>0</v>
      </c>
      <c r="F535" s="1">
        <f t="shared" si="25"/>
        <v>6719.0766786353342</v>
      </c>
    </row>
    <row r="536" spans="1:6" x14ac:dyDescent="0.3">
      <c r="A536" s="3">
        <v>46589</v>
      </c>
      <c r="B536" s="1">
        <f t="shared" si="26"/>
        <v>6719.0766786353342</v>
      </c>
      <c r="C536">
        <f t="shared" si="27"/>
        <v>3.5342465753424658E-4</v>
      </c>
      <c r="D536" s="1">
        <f>B536*Table1[[#This Row],[Дневная ставка]]</f>
        <v>2.3746873740930359</v>
      </c>
      <c r="E536">
        <v>0</v>
      </c>
      <c r="F536" s="1">
        <f t="shared" si="25"/>
        <v>6721.4513660094271</v>
      </c>
    </row>
    <row r="537" spans="1:6" x14ac:dyDescent="0.3">
      <c r="A537" s="3">
        <v>46590</v>
      </c>
      <c r="B537" s="1">
        <f t="shared" si="26"/>
        <v>6721.4513660094271</v>
      </c>
      <c r="C537">
        <f t="shared" si="27"/>
        <v>3.5342465753424658E-4</v>
      </c>
      <c r="D537" s="1">
        <f>B537*Table1[[#This Row],[Дневная ставка]]</f>
        <v>2.3755266471649756</v>
      </c>
      <c r="E537">
        <v>0</v>
      </c>
      <c r="F537" s="1">
        <f t="shared" si="25"/>
        <v>6723.8268926565925</v>
      </c>
    </row>
    <row r="538" spans="1:6" x14ac:dyDescent="0.3">
      <c r="A538" s="3">
        <v>46591</v>
      </c>
      <c r="B538" s="1">
        <f t="shared" si="26"/>
        <v>6723.8268926565925</v>
      </c>
      <c r="C538">
        <f t="shared" si="27"/>
        <v>3.5342465753424658E-4</v>
      </c>
      <c r="D538" s="1">
        <f>B538*Table1[[#This Row],[Дневная ставка]]</f>
        <v>2.3763662168567135</v>
      </c>
      <c r="E538">
        <v>0</v>
      </c>
      <c r="F538" s="1">
        <f t="shared" si="25"/>
        <v>6726.2032588734492</v>
      </c>
    </row>
    <row r="539" spans="1:6" x14ac:dyDescent="0.3">
      <c r="A539" s="3">
        <v>46592</v>
      </c>
      <c r="B539" s="1">
        <f t="shared" si="26"/>
        <v>6726.2032588734492</v>
      </c>
      <c r="C539">
        <f t="shared" si="27"/>
        <v>3.5342465753424658E-4</v>
      </c>
      <c r="D539" s="1">
        <f>B539*Table1[[#This Row],[Дневная ставка]]</f>
        <v>2.3772060832730819</v>
      </c>
      <c r="E539">
        <v>0</v>
      </c>
      <c r="F539" s="1">
        <f t="shared" si="25"/>
        <v>6728.5804649567226</v>
      </c>
    </row>
    <row r="540" spans="1:6" x14ac:dyDescent="0.3">
      <c r="A540" s="3">
        <v>46593</v>
      </c>
      <c r="B540" s="1">
        <f t="shared" si="26"/>
        <v>6728.5804649567226</v>
      </c>
      <c r="C540">
        <f t="shared" si="27"/>
        <v>3.5342465753424658E-4</v>
      </c>
      <c r="D540" s="1">
        <f>B540*Table1[[#This Row],[Дневная ставка]]</f>
        <v>2.3780462465189514</v>
      </c>
      <c r="E540">
        <v>0</v>
      </c>
      <c r="F540" s="1">
        <f t="shared" si="25"/>
        <v>6730.9585112032419</v>
      </c>
    </row>
    <row r="541" spans="1:6" x14ac:dyDescent="0.3">
      <c r="A541" s="3">
        <v>46594</v>
      </c>
      <c r="B541" s="1">
        <f t="shared" si="26"/>
        <v>6730.9585112032419</v>
      </c>
      <c r="C541">
        <f t="shared" si="27"/>
        <v>3.5342465753424658E-4</v>
      </c>
      <c r="D541" s="1">
        <f>B541*Table1[[#This Row],[Дневная ставка]]</f>
        <v>2.3788867066992281</v>
      </c>
      <c r="E541">
        <v>0</v>
      </c>
      <c r="F541" s="1">
        <f t="shared" si="25"/>
        <v>6733.3373979099415</v>
      </c>
    </row>
    <row r="542" spans="1:6" x14ac:dyDescent="0.3">
      <c r="A542" s="3">
        <v>46595</v>
      </c>
      <c r="B542" s="1">
        <f t="shared" si="26"/>
        <v>6733.3373979099415</v>
      </c>
      <c r="C542">
        <f t="shared" si="27"/>
        <v>3.5342465753424658E-4</v>
      </c>
      <c r="D542" s="1">
        <f>B542*Table1[[#This Row],[Дневная ставка]]</f>
        <v>2.3797274639188561</v>
      </c>
      <c r="E542">
        <v>0</v>
      </c>
      <c r="F542" s="1">
        <f t="shared" si="25"/>
        <v>6735.7171253738607</v>
      </c>
    </row>
    <row r="543" spans="1:6" x14ac:dyDescent="0.3">
      <c r="A543" s="3">
        <v>46596</v>
      </c>
      <c r="B543" s="1">
        <f t="shared" si="26"/>
        <v>6735.7171253738607</v>
      </c>
      <c r="C543">
        <f t="shared" si="27"/>
        <v>3.5342465753424658E-4</v>
      </c>
      <c r="D543" s="1">
        <f>B543*Table1[[#This Row],[Дневная ставка]]</f>
        <v>2.3805685182828165</v>
      </c>
      <c r="E543">
        <v>0</v>
      </c>
      <c r="F543" s="1">
        <f t="shared" si="25"/>
        <v>6738.0976938921431</v>
      </c>
    </row>
    <row r="544" spans="1:6" x14ac:dyDescent="0.3">
      <c r="A544" s="3">
        <v>46597</v>
      </c>
      <c r="B544" s="1">
        <f t="shared" si="26"/>
        <v>6738.0976938921431</v>
      </c>
      <c r="C544">
        <f t="shared" si="27"/>
        <v>3.5342465753424658E-4</v>
      </c>
      <c r="D544" s="1">
        <f>B544*Table1[[#This Row],[Дневная ставка]]</f>
        <v>2.3814098698961272</v>
      </c>
      <c r="E544">
        <v>0</v>
      </c>
      <c r="F544" s="1">
        <f t="shared" si="25"/>
        <v>6740.4791037620389</v>
      </c>
    </row>
    <row r="545" spans="1:6" x14ac:dyDescent="0.3">
      <c r="A545" s="3">
        <v>46598</v>
      </c>
      <c r="B545" s="1">
        <f t="shared" si="26"/>
        <v>6740.4791037620389</v>
      </c>
      <c r="C545">
        <f t="shared" si="27"/>
        <v>3.5342465753424658E-4</v>
      </c>
      <c r="D545" s="1">
        <f>B545*Table1[[#This Row],[Дневная ставка]]</f>
        <v>2.382251518863844</v>
      </c>
      <c r="E545">
        <v>0</v>
      </c>
      <c r="F545" s="1">
        <f t="shared" si="25"/>
        <v>6742.8613552809029</v>
      </c>
    </row>
    <row r="546" spans="1:6" x14ac:dyDescent="0.3">
      <c r="A546" s="3">
        <v>46599</v>
      </c>
      <c r="B546" s="1">
        <f t="shared" si="26"/>
        <v>6742.8613552809029</v>
      </c>
      <c r="C546">
        <f t="shared" si="27"/>
        <v>3.5342465753424658E-4</v>
      </c>
      <c r="D546" s="1">
        <f>B546*Table1[[#This Row],[Дневная ставка]]</f>
        <v>2.3830934652910587</v>
      </c>
      <c r="E546">
        <v>0</v>
      </c>
      <c r="F546" s="1">
        <f t="shared" si="25"/>
        <v>6745.2444487461944</v>
      </c>
    </row>
    <row r="547" spans="1:6" x14ac:dyDescent="0.3">
      <c r="A547" s="3">
        <v>46600</v>
      </c>
      <c r="B547" s="1">
        <f t="shared" si="26"/>
        <v>6745.2444487461944</v>
      </c>
      <c r="C547">
        <f t="shared" si="27"/>
        <v>3.5342465753424658E-4</v>
      </c>
      <c r="D547" s="1">
        <f>B547*Table1[[#This Row],[Дневная ставка]]</f>
        <v>2.3839357092829014</v>
      </c>
      <c r="E547">
        <v>0</v>
      </c>
      <c r="F547" s="1">
        <f t="shared" si="25"/>
        <v>6747.6283844554773</v>
      </c>
    </row>
    <row r="548" spans="1:6" x14ac:dyDescent="0.3">
      <c r="A548" s="3">
        <v>46601</v>
      </c>
      <c r="B548" s="1">
        <f t="shared" si="26"/>
        <v>6747.6283844554773</v>
      </c>
      <c r="C548">
        <f t="shared" si="27"/>
        <v>3.5342465753424658E-4</v>
      </c>
      <c r="D548" s="1">
        <f>B548*Table1[[#This Row],[Дневная ставка]]</f>
        <v>2.3847782509445388</v>
      </c>
      <c r="E548">
        <v>0</v>
      </c>
      <c r="F548" s="1">
        <f t="shared" si="25"/>
        <v>6750.013162706422</v>
      </c>
    </row>
    <row r="549" spans="1:6" x14ac:dyDescent="0.3">
      <c r="A549" s="3">
        <v>46602</v>
      </c>
      <c r="B549" s="1">
        <f t="shared" si="26"/>
        <v>6750.013162706422</v>
      </c>
      <c r="C549">
        <f t="shared" si="27"/>
        <v>3.5342465753424658E-4</v>
      </c>
      <c r="D549" s="1">
        <f>B549*Table1[[#This Row],[Дневная ставка]]</f>
        <v>2.3856210903811736</v>
      </c>
      <c r="E549">
        <v>0</v>
      </c>
      <c r="F549" s="1">
        <f t="shared" si="25"/>
        <v>6752.3987837968034</v>
      </c>
    </row>
    <row r="550" spans="1:6" x14ac:dyDescent="0.3">
      <c r="A550" s="3">
        <v>46603</v>
      </c>
      <c r="B550" s="1">
        <f t="shared" si="26"/>
        <v>6752.3987837968034</v>
      </c>
      <c r="C550">
        <f t="shared" si="27"/>
        <v>3.5342465753424658E-4</v>
      </c>
      <c r="D550" s="1">
        <f>B550*Table1[[#This Row],[Дневная ставка]]</f>
        <v>2.3864642276980486</v>
      </c>
      <c r="E550">
        <v>0</v>
      </c>
      <c r="F550" s="1">
        <f t="shared" si="25"/>
        <v>6754.785248024501</v>
      </c>
    </row>
    <row r="551" spans="1:6" x14ac:dyDescent="0.3">
      <c r="A551" s="3">
        <v>46604</v>
      </c>
      <c r="B551" s="1">
        <f t="shared" si="26"/>
        <v>6754.785248024501</v>
      </c>
      <c r="C551">
        <f t="shared" si="27"/>
        <v>3.5342465753424658E-4</v>
      </c>
      <c r="D551" s="1">
        <f>B551*Table1[[#This Row],[Дневная ставка]]</f>
        <v>2.3873076630004402</v>
      </c>
      <c r="E551">
        <v>0</v>
      </c>
      <c r="F551" s="1">
        <f t="shared" si="25"/>
        <v>6757.1725556875017</v>
      </c>
    </row>
    <row r="552" spans="1:6" x14ac:dyDescent="0.3">
      <c r="A552" s="3">
        <v>46605</v>
      </c>
      <c r="B552" s="1">
        <f t="shared" si="26"/>
        <v>6757.1725556875017</v>
      </c>
      <c r="C552">
        <f t="shared" si="27"/>
        <v>3.5342465753424658E-4</v>
      </c>
      <c r="D552" s="1">
        <f>B552*Table1[[#This Row],[Дневная ставка]]</f>
        <v>2.3881513963936651</v>
      </c>
      <c r="E552">
        <v>0</v>
      </c>
      <c r="F552" s="1">
        <f t="shared" si="25"/>
        <v>6759.5607070838951</v>
      </c>
    </row>
    <row r="553" spans="1:6" x14ac:dyDescent="0.3">
      <c r="A553" s="3">
        <v>46606</v>
      </c>
      <c r="B553" s="1">
        <f t="shared" si="26"/>
        <v>6759.5607070838951</v>
      </c>
      <c r="C553">
        <f t="shared" si="27"/>
        <v>3.5342465753424658E-4</v>
      </c>
      <c r="D553" s="1">
        <f>B553*Table1[[#This Row],[Дневная ставка]]</f>
        <v>2.3889954279830752</v>
      </c>
      <c r="E553">
        <v>0</v>
      </c>
      <c r="F553" s="1">
        <f t="shared" si="25"/>
        <v>6761.9497025118781</v>
      </c>
    </row>
    <row r="554" spans="1:6" x14ac:dyDescent="0.3">
      <c r="A554" s="3">
        <v>46607</v>
      </c>
      <c r="B554" s="1">
        <f t="shared" si="26"/>
        <v>6761.9497025118781</v>
      </c>
      <c r="C554">
        <f t="shared" si="27"/>
        <v>3.5342465753424658E-4</v>
      </c>
      <c r="D554" s="1">
        <f>B554*Table1[[#This Row],[Дневная ставка]]</f>
        <v>2.3898397578740611</v>
      </c>
      <c r="E554">
        <v>0</v>
      </c>
      <c r="F554" s="1">
        <f t="shared" si="25"/>
        <v>6764.3395422697522</v>
      </c>
    </row>
    <row r="555" spans="1:6" x14ac:dyDescent="0.3">
      <c r="A555" s="3">
        <v>46608</v>
      </c>
      <c r="B555" s="1">
        <f t="shared" si="26"/>
        <v>6764.3395422697522</v>
      </c>
      <c r="C555">
        <f t="shared" si="27"/>
        <v>3.5342465753424658E-4</v>
      </c>
      <c r="D555" s="1">
        <f>B555*Table1[[#This Row],[Дневная ставка]]</f>
        <v>2.3906843861720493</v>
      </c>
      <c r="E555">
        <v>0</v>
      </c>
      <c r="F555" s="1">
        <f t="shared" si="25"/>
        <v>6766.7302266559245</v>
      </c>
    </row>
    <row r="556" spans="1:6" x14ac:dyDescent="0.3">
      <c r="A556" s="3">
        <v>46609</v>
      </c>
      <c r="B556" s="1">
        <f t="shared" si="26"/>
        <v>6766.7302266559245</v>
      </c>
      <c r="C556">
        <f t="shared" si="27"/>
        <v>3.5342465753424658E-4</v>
      </c>
      <c r="D556" s="1">
        <f>B556*Table1[[#This Row],[Дневная ставка]]</f>
        <v>2.391529312982505</v>
      </c>
      <c r="E556">
        <v>0</v>
      </c>
      <c r="F556" s="1">
        <f t="shared" si="25"/>
        <v>6769.1217559689067</v>
      </c>
    </row>
    <row r="557" spans="1:6" x14ac:dyDescent="0.3">
      <c r="A557" s="3">
        <v>46610</v>
      </c>
      <c r="B557" s="1">
        <f t="shared" si="26"/>
        <v>6769.1217559689067</v>
      </c>
      <c r="C557">
        <f t="shared" si="27"/>
        <v>3.5342465753424658E-4</v>
      </c>
      <c r="D557" s="1">
        <f>B557*Table1[[#This Row],[Дневная ставка]]</f>
        <v>2.3923745384109285</v>
      </c>
      <c r="E557">
        <v>0</v>
      </c>
      <c r="F557" s="1">
        <f t="shared" si="25"/>
        <v>6771.5141305073175</v>
      </c>
    </row>
    <row r="558" spans="1:6" x14ac:dyDescent="0.3">
      <c r="A558" s="3">
        <v>46611</v>
      </c>
      <c r="B558" s="1">
        <f t="shared" si="26"/>
        <v>6771.5141305073175</v>
      </c>
      <c r="C558">
        <f t="shared" si="27"/>
        <v>3.5342465753424658E-4</v>
      </c>
      <c r="D558" s="1">
        <f>B558*Table1[[#This Row],[Дневная ставка]]</f>
        <v>2.3932200625628601</v>
      </c>
      <c r="E558">
        <v>0</v>
      </c>
      <c r="F558" s="1">
        <f t="shared" si="25"/>
        <v>6773.9073505698807</v>
      </c>
    </row>
    <row r="559" spans="1:6" x14ac:dyDescent="0.3">
      <c r="A559" s="3">
        <v>46612</v>
      </c>
      <c r="B559" s="1">
        <f t="shared" si="26"/>
        <v>6773.9073505698807</v>
      </c>
      <c r="C559">
        <f t="shared" si="27"/>
        <v>3.5342465753424658E-4</v>
      </c>
      <c r="D559" s="1">
        <f>B559*Table1[[#This Row],[Дневная ставка]]</f>
        <v>2.3940658855438759</v>
      </c>
      <c r="E559">
        <v>0</v>
      </c>
      <c r="F559" s="1">
        <f t="shared" si="25"/>
        <v>6776.3014164554243</v>
      </c>
    </row>
    <row r="560" spans="1:6" x14ac:dyDescent="0.3">
      <c r="A560" s="3">
        <v>46613</v>
      </c>
      <c r="B560" s="1">
        <f t="shared" si="26"/>
        <v>6776.3014164554243</v>
      </c>
      <c r="C560">
        <f t="shared" si="27"/>
        <v>3.5342465753424658E-4</v>
      </c>
      <c r="D560" s="1">
        <f>B560*Table1[[#This Row],[Дневная ставка]]</f>
        <v>2.3949120074595882</v>
      </c>
      <c r="E560">
        <v>0</v>
      </c>
      <c r="F560" s="1">
        <f t="shared" si="25"/>
        <v>6778.6963284628837</v>
      </c>
    </row>
    <row r="561" spans="1:6" x14ac:dyDescent="0.3">
      <c r="A561" s="3">
        <v>46614</v>
      </c>
      <c r="B561" s="1">
        <f t="shared" si="26"/>
        <v>6778.6963284628837</v>
      </c>
      <c r="C561">
        <f t="shared" si="27"/>
        <v>3.5342465753424658E-4</v>
      </c>
      <c r="D561" s="1">
        <f>B561*Table1[[#This Row],[Дневная ставка]]</f>
        <v>2.3957584284156495</v>
      </c>
      <c r="E561">
        <v>0</v>
      </c>
      <c r="F561" s="1">
        <f t="shared" si="25"/>
        <v>6781.092086891299</v>
      </c>
    </row>
    <row r="562" spans="1:6" x14ac:dyDescent="0.3">
      <c r="A562" s="3">
        <v>46615</v>
      </c>
      <c r="B562" s="1">
        <f t="shared" si="26"/>
        <v>6781.092086891299</v>
      </c>
      <c r="C562">
        <f t="shared" si="27"/>
        <v>3.5342465753424658E-4</v>
      </c>
      <c r="D562" s="1">
        <f>B562*Table1[[#This Row],[Дневная ставка]]</f>
        <v>2.3966051485177466</v>
      </c>
      <c r="E562">
        <v>0</v>
      </c>
      <c r="F562" s="1">
        <f t="shared" si="25"/>
        <v>6783.4886920398167</v>
      </c>
    </row>
    <row r="563" spans="1:6" x14ac:dyDescent="0.3">
      <c r="A563" s="3">
        <v>46616</v>
      </c>
      <c r="B563" s="1">
        <f t="shared" si="26"/>
        <v>6783.4886920398167</v>
      </c>
      <c r="C563">
        <f t="shared" si="27"/>
        <v>3.5342465753424658E-4</v>
      </c>
      <c r="D563" s="1">
        <f>B563*Table1[[#This Row],[Дневная ставка]]</f>
        <v>2.3974521678716063</v>
      </c>
      <c r="E563">
        <v>0</v>
      </c>
      <c r="F563" s="1">
        <f t="shared" si="25"/>
        <v>6785.8861442076886</v>
      </c>
    </row>
    <row r="564" spans="1:6" x14ac:dyDescent="0.3">
      <c r="A564" s="3">
        <v>46617</v>
      </c>
      <c r="B564" s="1">
        <f t="shared" si="26"/>
        <v>6785.8861442076886</v>
      </c>
      <c r="C564">
        <f t="shared" si="27"/>
        <v>3.5342465753424658E-4</v>
      </c>
      <c r="D564" s="1">
        <f>B564*Table1[[#This Row],[Дневная ставка]]</f>
        <v>2.3982994865829914</v>
      </c>
      <c r="E564">
        <v>0</v>
      </c>
      <c r="F564" s="1">
        <f t="shared" si="25"/>
        <v>6788.2844436942714</v>
      </c>
    </row>
    <row r="565" spans="1:6" x14ac:dyDescent="0.3">
      <c r="A565" s="3">
        <v>46618</v>
      </c>
      <c r="B565" s="1">
        <f t="shared" si="26"/>
        <v>6788.2844436942714</v>
      </c>
      <c r="C565">
        <f t="shared" si="27"/>
        <v>3.5342465753424658E-4</v>
      </c>
      <c r="D565" s="1">
        <f>B565*Table1[[#This Row],[Дневная ставка]]</f>
        <v>2.3991471047577013</v>
      </c>
      <c r="E565">
        <v>650.05999999999995</v>
      </c>
      <c r="F565" s="1">
        <f t="shared" si="25"/>
        <v>6140.6235907990285</v>
      </c>
    </row>
    <row r="566" spans="1:6" x14ac:dyDescent="0.3">
      <c r="A566" s="3">
        <v>46619</v>
      </c>
      <c r="B566" s="1">
        <f t="shared" si="26"/>
        <v>6140.6235907990285</v>
      </c>
      <c r="C566">
        <f t="shared" si="27"/>
        <v>3.5342465753424658E-4</v>
      </c>
      <c r="D566" s="1">
        <f>B566*Table1[[#This Row],[Дневная ставка]]</f>
        <v>2.1702477896248622</v>
      </c>
      <c r="E566">
        <v>0</v>
      </c>
      <c r="F566" s="1">
        <f t="shared" si="25"/>
        <v>6142.7938385886537</v>
      </c>
    </row>
    <row r="567" spans="1:6" x14ac:dyDescent="0.3">
      <c r="A567" s="3">
        <v>46620</v>
      </c>
      <c r="B567" s="1">
        <f t="shared" si="26"/>
        <v>6142.7938385886537</v>
      </c>
      <c r="C567">
        <f t="shared" si="27"/>
        <v>3.5342465753424658E-4</v>
      </c>
      <c r="D567" s="1">
        <f>B567*Table1[[#This Row],[Дневная ставка]]</f>
        <v>2.171014808706675</v>
      </c>
      <c r="E567">
        <v>0</v>
      </c>
      <c r="F567" s="1">
        <f t="shared" si="25"/>
        <v>6144.9648533973605</v>
      </c>
    </row>
    <row r="568" spans="1:6" x14ac:dyDescent="0.3">
      <c r="A568" s="3">
        <v>46621</v>
      </c>
      <c r="B568" s="1">
        <f t="shared" si="26"/>
        <v>6144.9648533973605</v>
      </c>
      <c r="C568">
        <f t="shared" si="27"/>
        <v>3.5342465753424658E-4</v>
      </c>
      <c r="D568" s="1">
        <f>B568*Table1[[#This Row],[Дневная ставка]]</f>
        <v>2.1717820988719438</v>
      </c>
      <c r="E568">
        <v>0</v>
      </c>
      <c r="F568" s="1">
        <f t="shared" si="25"/>
        <v>6147.136635496232</v>
      </c>
    </row>
    <row r="569" spans="1:6" x14ac:dyDescent="0.3">
      <c r="A569" s="3">
        <v>46622</v>
      </c>
      <c r="B569" s="1">
        <f t="shared" si="26"/>
        <v>6147.136635496232</v>
      </c>
      <c r="C569">
        <f t="shared" si="27"/>
        <v>3.5342465753424658E-4</v>
      </c>
      <c r="D569" s="1">
        <f>B569*Table1[[#This Row],[Дневная ставка]]</f>
        <v>2.1725496602164767</v>
      </c>
      <c r="E569">
        <v>0</v>
      </c>
      <c r="F569" s="1">
        <f t="shared" si="25"/>
        <v>6149.3091851564486</v>
      </c>
    </row>
    <row r="570" spans="1:6" x14ac:dyDescent="0.3">
      <c r="A570" s="3">
        <v>46623</v>
      </c>
      <c r="B570" s="1">
        <f t="shared" si="26"/>
        <v>6149.3091851564486</v>
      </c>
      <c r="C570">
        <f t="shared" si="27"/>
        <v>3.5342465753424658E-4</v>
      </c>
      <c r="D570" s="1">
        <f>B570*Table1[[#This Row],[Дневная ставка]]</f>
        <v>2.173317492836115</v>
      </c>
      <c r="E570">
        <v>0</v>
      </c>
      <c r="F570" s="1">
        <f t="shared" si="25"/>
        <v>6151.4825026492845</v>
      </c>
    </row>
    <row r="571" spans="1:6" x14ac:dyDescent="0.3">
      <c r="A571" s="3">
        <v>46624</v>
      </c>
      <c r="B571" s="1">
        <f t="shared" si="26"/>
        <v>6151.4825026492845</v>
      </c>
      <c r="C571">
        <f t="shared" si="27"/>
        <v>3.5342465753424658E-4</v>
      </c>
      <c r="D571" s="1">
        <f>B571*Table1[[#This Row],[Дневная ставка]]</f>
        <v>2.1740855968267336</v>
      </c>
      <c r="E571">
        <v>0</v>
      </c>
      <c r="F571" s="1">
        <f t="shared" si="25"/>
        <v>6153.6565882461109</v>
      </c>
    </row>
    <row r="572" spans="1:6" x14ac:dyDescent="0.3">
      <c r="A572" s="3">
        <v>46625</v>
      </c>
      <c r="B572" s="1">
        <f t="shared" si="26"/>
        <v>6153.6565882461109</v>
      </c>
      <c r="C572">
        <f t="shared" si="27"/>
        <v>3.5342465753424658E-4</v>
      </c>
      <c r="D572" s="1">
        <f>B572*Table1[[#This Row],[Дневная ставка]]</f>
        <v>2.1748539722842422</v>
      </c>
      <c r="E572">
        <v>0</v>
      </c>
      <c r="F572" s="1">
        <f t="shared" si="25"/>
        <v>6155.8314422183948</v>
      </c>
    </row>
    <row r="573" spans="1:6" x14ac:dyDescent="0.3">
      <c r="A573" s="3">
        <v>46626</v>
      </c>
      <c r="B573" s="1">
        <f t="shared" si="26"/>
        <v>6155.8314422183948</v>
      </c>
      <c r="C573">
        <f t="shared" si="27"/>
        <v>3.5342465753424658E-4</v>
      </c>
      <c r="D573" s="1">
        <f>B573*Table1[[#This Row],[Дневная ставка]]</f>
        <v>2.1756226193045833</v>
      </c>
      <c r="E573">
        <v>0</v>
      </c>
      <c r="F573" s="1">
        <f t="shared" si="25"/>
        <v>6158.0070648376995</v>
      </c>
    </row>
    <row r="574" spans="1:6" x14ac:dyDescent="0.3">
      <c r="A574" s="3">
        <v>46627</v>
      </c>
      <c r="B574" s="1">
        <f t="shared" si="26"/>
        <v>6158.0070648376995</v>
      </c>
      <c r="C574">
        <f t="shared" si="27"/>
        <v>3.5342465753424658E-4</v>
      </c>
      <c r="D574" s="1">
        <f>B574*Table1[[#This Row],[Дневная ставка]]</f>
        <v>2.1763915379837351</v>
      </c>
      <c r="E574">
        <v>0</v>
      </c>
      <c r="F574" s="1">
        <f t="shared" si="25"/>
        <v>6160.1834563756829</v>
      </c>
    </row>
    <row r="575" spans="1:6" x14ac:dyDescent="0.3">
      <c r="A575" s="3">
        <v>46628</v>
      </c>
      <c r="B575" s="1">
        <f t="shared" si="26"/>
        <v>6160.1834563756829</v>
      </c>
      <c r="C575">
        <f t="shared" si="27"/>
        <v>3.5342465753424658E-4</v>
      </c>
      <c r="D575" s="1">
        <f>B575*Table1[[#This Row],[Дневная ставка]]</f>
        <v>2.1771607284177072</v>
      </c>
      <c r="E575">
        <v>0</v>
      </c>
      <c r="F575" s="1">
        <f t="shared" si="25"/>
        <v>6162.360617104101</v>
      </c>
    </row>
    <row r="576" spans="1:6" x14ac:dyDescent="0.3">
      <c r="A576" s="3">
        <v>46629</v>
      </c>
      <c r="B576" s="1">
        <f t="shared" si="26"/>
        <v>6162.360617104101</v>
      </c>
      <c r="C576">
        <f t="shared" si="27"/>
        <v>3.5342465753424658E-4</v>
      </c>
      <c r="D576" s="1">
        <f>B576*Table1[[#This Row],[Дневная ставка]]</f>
        <v>2.1779301907025452</v>
      </c>
      <c r="E576">
        <v>0</v>
      </c>
      <c r="F576" s="1">
        <f t="shared" si="25"/>
        <v>6164.5385472948037</v>
      </c>
    </row>
    <row r="577" spans="1:6" x14ac:dyDescent="0.3">
      <c r="A577" s="3">
        <v>46630</v>
      </c>
      <c r="B577" s="1">
        <f t="shared" si="26"/>
        <v>6164.5385472948037</v>
      </c>
      <c r="C577">
        <f t="shared" si="27"/>
        <v>3.5342465753424658E-4</v>
      </c>
      <c r="D577" s="1">
        <f>B577*Table1[[#This Row],[Дневная ставка]]</f>
        <v>2.1786999249343277</v>
      </c>
      <c r="E577">
        <v>0</v>
      </c>
      <c r="F577" s="1">
        <f t="shared" si="25"/>
        <v>6166.7172472197381</v>
      </c>
    </row>
    <row r="578" spans="1:6" x14ac:dyDescent="0.3">
      <c r="A578" s="3">
        <v>46631</v>
      </c>
      <c r="B578" s="1">
        <f t="shared" si="26"/>
        <v>6166.7172472197381</v>
      </c>
      <c r="C578">
        <f t="shared" si="27"/>
        <v>3.5342465753424658E-4</v>
      </c>
      <c r="D578" s="1">
        <f>B578*Table1[[#This Row],[Дневная ставка]]</f>
        <v>2.1794699312091677</v>
      </c>
      <c r="E578">
        <v>0</v>
      </c>
      <c r="F578" s="1">
        <f t="shared" si="25"/>
        <v>6168.8967171509476</v>
      </c>
    </row>
    <row r="579" spans="1:6" x14ac:dyDescent="0.3">
      <c r="A579" s="3">
        <v>46632</v>
      </c>
      <c r="B579" s="1">
        <f t="shared" si="26"/>
        <v>6168.8967171509476</v>
      </c>
      <c r="C579">
        <f t="shared" si="27"/>
        <v>3.5342465753424658E-4</v>
      </c>
      <c r="D579" s="1">
        <f>B579*Table1[[#This Row],[Дневная ставка]]</f>
        <v>2.1802402096232116</v>
      </c>
      <c r="E579">
        <v>0</v>
      </c>
      <c r="F579" s="1">
        <f t="shared" ref="F579:F642" si="28">B579+D579-E579</f>
        <v>6171.0769573605712</v>
      </c>
    </row>
    <row r="580" spans="1:6" x14ac:dyDescent="0.3">
      <c r="A580" s="3">
        <v>46633</v>
      </c>
      <c r="B580" s="1">
        <f t="shared" ref="B580:B643" si="29">F579</f>
        <v>6171.0769573605712</v>
      </c>
      <c r="C580">
        <f t="shared" si="27"/>
        <v>3.5342465753424658E-4</v>
      </c>
      <c r="D580" s="1">
        <f>B580*Table1[[#This Row],[Дневная ставка]]</f>
        <v>2.1810107602726401</v>
      </c>
      <c r="E580">
        <v>0</v>
      </c>
      <c r="F580" s="1">
        <f t="shared" si="28"/>
        <v>6173.2579681208435</v>
      </c>
    </row>
    <row r="581" spans="1:6" x14ac:dyDescent="0.3">
      <c r="A581" s="3">
        <v>46634</v>
      </c>
      <c r="B581" s="1">
        <f t="shared" si="29"/>
        <v>6173.2579681208435</v>
      </c>
      <c r="C581">
        <f t="shared" si="27"/>
        <v>3.5342465753424658E-4</v>
      </c>
      <c r="D581" s="1">
        <f>B581*Table1[[#This Row],[Дневная ставка]]</f>
        <v>2.181781583253668</v>
      </c>
      <c r="E581">
        <v>0</v>
      </c>
      <c r="F581" s="1">
        <f t="shared" si="28"/>
        <v>6175.4397497040973</v>
      </c>
    </row>
    <row r="582" spans="1:6" x14ac:dyDescent="0.3">
      <c r="A582" s="3">
        <v>46635</v>
      </c>
      <c r="B582" s="1">
        <f t="shared" si="29"/>
        <v>6175.4397497040973</v>
      </c>
      <c r="C582">
        <f t="shared" si="27"/>
        <v>3.5342465753424658E-4</v>
      </c>
      <c r="D582" s="1">
        <f>B582*Table1[[#This Row],[Дневная ставка]]</f>
        <v>2.1825526786625442</v>
      </c>
      <c r="E582">
        <v>0</v>
      </c>
      <c r="F582" s="1">
        <f t="shared" si="28"/>
        <v>6177.6223023827597</v>
      </c>
    </row>
    <row r="583" spans="1:6" x14ac:dyDescent="0.3">
      <c r="A583" s="3">
        <v>46636</v>
      </c>
      <c r="B583" s="1">
        <f t="shared" si="29"/>
        <v>6177.6223023827597</v>
      </c>
      <c r="C583">
        <f t="shared" si="27"/>
        <v>3.5342465753424658E-4</v>
      </c>
      <c r="D583" s="1">
        <f>B583*Table1[[#This Row],[Дневная ставка]]</f>
        <v>2.1833240465955508</v>
      </c>
      <c r="E583">
        <v>0</v>
      </c>
      <c r="F583" s="1">
        <f t="shared" si="28"/>
        <v>6179.8056264293555</v>
      </c>
    </row>
    <row r="584" spans="1:6" x14ac:dyDescent="0.3">
      <c r="A584" s="3">
        <v>46637</v>
      </c>
      <c r="B584" s="1">
        <f t="shared" si="29"/>
        <v>6179.8056264293555</v>
      </c>
      <c r="C584">
        <f t="shared" si="27"/>
        <v>3.5342465753424658E-4</v>
      </c>
      <c r="D584" s="1">
        <f>B584*Table1[[#This Row],[Дневная ставка]]</f>
        <v>2.1840956871490049</v>
      </c>
      <c r="E584">
        <v>0</v>
      </c>
      <c r="F584" s="1">
        <f t="shared" si="28"/>
        <v>6181.9897221165047</v>
      </c>
    </row>
    <row r="585" spans="1:6" x14ac:dyDescent="0.3">
      <c r="A585" s="3">
        <v>46638</v>
      </c>
      <c r="B585" s="1">
        <f t="shared" si="29"/>
        <v>6181.9897221165047</v>
      </c>
      <c r="C585">
        <f t="shared" si="27"/>
        <v>3.5342465753424658E-4</v>
      </c>
      <c r="D585" s="1">
        <f>B585*Table1[[#This Row],[Дневная ставка]]</f>
        <v>2.184867600419258</v>
      </c>
      <c r="E585">
        <v>0</v>
      </c>
      <c r="F585" s="1">
        <f t="shared" si="28"/>
        <v>6184.1745897169239</v>
      </c>
    </row>
    <row r="586" spans="1:6" x14ac:dyDescent="0.3">
      <c r="A586" s="3">
        <v>46639</v>
      </c>
      <c r="B586" s="1">
        <f t="shared" si="29"/>
        <v>6184.1745897169239</v>
      </c>
      <c r="C586">
        <f t="shared" si="27"/>
        <v>3.5342465753424658E-4</v>
      </c>
      <c r="D586" s="1">
        <f>B586*Table1[[#This Row],[Дневная ставка]]</f>
        <v>2.1856397865026937</v>
      </c>
      <c r="E586">
        <v>0</v>
      </c>
      <c r="F586" s="1">
        <f t="shared" si="28"/>
        <v>6186.360229503427</v>
      </c>
    </row>
    <row r="587" spans="1:6" x14ac:dyDescent="0.3">
      <c r="A587" s="3">
        <v>46640</v>
      </c>
      <c r="B587" s="1">
        <f t="shared" si="29"/>
        <v>6186.360229503427</v>
      </c>
      <c r="C587">
        <f t="shared" si="27"/>
        <v>3.5342465753424658E-4</v>
      </c>
      <c r="D587" s="1">
        <f>B587*Table1[[#This Row],[Дневная ставка]]</f>
        <v>2.186412245495732</v>
      </c>
      <c r="E587">
        <v>0</v>
      </c>
      <c r="F587" s="1">
        <f t="shared" si="28"/>
        <v>6188.5466417489224</v>
      </c>
    </row>
    <row r="588" spans="1:6" x14ac:dyDescent="0.3">
      <c r="A588" s="3">
        <v>46641</v>
      </c>
      <c r="B588" s="1">
        <f t="shared" si="29"/>
        <v>6188.5466417489224</v>
      </c>
      <c r="C588">
        <f t="shared" si="27"/>
        <v>3.5342465753424658E-4</v>
      </c>
      <c r="D588" s="1">
        <f>B588*Table1[[#This Row],[Дневная ставка]]</f>
        <v>2.1871849774948249</v>
      </c>
      <c r="E588">
        <v>0</v>
      </c>
      <c r="F588" s="1">
        <f t="shared" si="28"/>
        <v>6190.7338267264176</v>
      </c>
    </row>
    <row r="589" spans="1:6" x14ac:dyDescent="0.3">
      <c r="A589" s="3">
        <v>46642</v>
      </c>
      <c r="B589" s="1">
        <f t="shared" si="29"/>
        <v>6190.7338267264176</v>
      </c>
      <c r="C589">
        <f t="shared" si="27"/>
        <v>3.5342465753424658E-4</v>
      </c>
      <c r="D589" s="1">
        <f>B589*Table1[[#This Row],[Дневная ставка]]</f>
        <v>2.1879579825964601</v>
      </c>
      <c r="E589">
        <v>0</v>
      </c>
      <c r="F589" s="1">
        <f t="shared" si="28"/>
        <v>6192.921784709014</v>
      </c>
    </row>
    <row r="590" spans="1:6" x14ac:dyDescent="0.3">
      <c r="A590" s="3">
        <v>46643</v>
      </c>
      <c r="B590" s="1">
        <f t="shared" si="29"/>
        <v>6192.921784709014</v>
      </c>
      <c r="C590">
        <f t="shared" si="27"/>
        <v>3.5342465753424658E-4</v>
      </c>
      <c r="D590" s="1">
        <f>B590*Table1[[#This Row],[Дневная ставка]]</f>
        <v>2.1887312608971583</v>
      </c>
      <c r="E590">
        <v>0</v>
      </c>
      <c r="F590" s="1">
        <f t="shared" si="28"/>
        <v>6195.1105159699109</v>
      </c>
    </row>
    <row r="591" spans="1:6" x14ac:dyDescent="0.3">
      <c r="A591" s="3">
        <v>46644</v>
      </c>
      <c r="B591" s="1">
        <f t="shared" si="29"/>
        <v>6195.1105159699109</v>
      </c>
      <c r="C591">
        <f t="shared" si="27"/>
        <v>3.5342465753424658E-4</v>
      </c>
      <c r="D591" s="1">
        <f>B591*Table1[[#This Row],[Дневная ставка]]</f>
        <v>2.1895048124934755</v>
      </c>
      <c r="E591">
        <v>0</v>
      </c>
      <c r="F591" s="1">
        <f t="shared" si="28"/>
        <v>6197.3000207824043</v>
      </c>
    </row>
    <row r="592" spans="1:6" x14ac:dyDescent="0.3">
      <c r="A592" s="3">
        <v>46645</v>
      </c>
      <c r="B592" s="1">
        <f t="shared" si="29"/>
        <v>6197.3000207824043</v>
      </c>
      <c r="C592">
        <f t="shared" si="27"/>
        <v>3.5342465753424658E-4</v>
      </c>
      <c r="D592" s="1">
        <f>B592*Table1[[#This Row],[Дневная ставка]]</f>
        <v>2.1902786374820007</v>
      </c>
      <c r="E592">
        <v>0</v>
      </c>
      <c r="F592" s="1">
        <f t="shared" si="28"/>
        <v>6199.4902994198865</v>
      </c>
    </row>
    <row r="593" spans="1:6" x14ac:dyDescent="0.3">
      <c r="A593" s="3">
        <v>46646</v>
      </c>
      <c r="B593" s="1">
        <f t="shared" si="29"/>
        <v>6199.4902994198865</v>
      </c>
      <c r="C593">
        <f t="shared" si="27"/>
        <v>3.5342465753424658E-4</v>
      </c>
      <c r="D593" s="1">
        <f>B593*Table1[[#This Row],[Дневная ставка]]</f>
        <v>2.191052735959357</v>
      </c>
      <c r="E593">
        <v>0</v>
      </c>
      <c r="F593" s="1">
        <f t="shared" si="28"/>
        <v>6201.6813521558461</v>
      </c>
    </row>
    <row r="594" spans="1:6" x14ac:dyDescent="0.3">
      <c r="A594" s="3">
        <v>46647</v>
      </c>
      <c r="B594" s="1">
        <f t="shared" si="29"/>
        <v>6201.6813521558461</v>
      </c>
      <c r="C594">
        <f t="shared" si="27"/>
        <v>3.5342465753424658E-4</v>
      </c>
      <c r="D594" s="1">
        <f>B594*Table1[[#This Row],[Дневная ставка]]</f>
        <v>2.1918271080222032</v>
      </c>
      <c r="E594">
        <v>0</v>
      </c>
      <c r="F594" s="1">
        <f t="shared" si="28"/>
        <v>6203.8731792638682</v>
      </c>
    </row>
    <row r="595" spans="1:6" x14ac:dyDescent="0.3">
      <c r="A595" s="3">
        <v>46648</v>
      </c>
      <c r="B595" s="1">
        <f t="shared" si="29"/>
        <v>6203.8731792638682</v>
      </c>
      <c r="C595">
        <f t="shared" si="27"/>
        <v>3.5342465753424658E-4</v>
      </c>
      <c r="D595" s="1">
        <f>B595*Table1[[#This Row],[Дневная ставка]]</f>
        <v>2.1926017537672302</v>
      </c>
      <c r="E595">
        <v>0</v>
      </c>
      <c r="F595" s="1">
        <f t="shared" si="28"/>
        <v>6206.0657810176353</v>
      </c>
    </row>
    <row r="596" spans="1:6" x14ac:dyDescent="0.3">
      <c r="A596" s="3">
        <v>46649</v>
      </c>
      <c r="B596" s="1">
        <f t="shared" si="29"/>
        <v>6206.0657810176353</v>
      </c>
      <c r="C596">
        <f t="shared" ref="C596:C659" si="30">(12.9%/365)</f>
        <v>3.5342465753424658E-4</v>
      </c>
      <c r="D596" s="1">
        <f>B596*Table1[[#This Row],[Дневная ставка]]</f>
        <v>2.1933766732911644</v>
      </c>
      <c r="E596">
        <v>650.05999999999995</v>
      </c>
      <c r="F596" s="1">
        <f t="shared" si="28"/>
        <v>5558.1991576909259</v>
      </c>
    </row>
    <row r="597" spans="1:6" x14ac:dyDescent="0.3">
      <c r="A597" s="3">
        <v>46650</v>
      </c>
      <c r="B597" s="1">
        <f t="shared" si="29"/>
        <v>5558.1991576909259</v>
      </c>
      <c r="C597">
        <f t="shared" si="30"/>
        <v>3.5342465753424658E-4</v>
      </c>
      <c r="D597" s="1">
        <f>B597*Table1[[#This Row],[Дневная ставка]]</f>
        <v>1.9644046338140533</v>
      </c>
      <c r="E597">
        <v>0</v>
      </c>
      <c r="F597" s="1">
        <f t="shared" si="28"/>
        <v>5560.1635623247403</v>
      </c>
    </row>
    <row r="598" spans="1:6" x14ac:dyDescent="0.3">
      <c r="A598" s="3">
        <v>46651</v>
      </c>
      <c r="B598" s="1">
        <f t="shared" si="29"/>
        <v>5560.1635623247403</v>
      </c>
      <c r="C598">
        <f t="shared" si="30"/>
        <v>3.5342465753424658E-4</v>
      </c>
      <c r="D598" s="1">
        <f>B598*Table1[[#This Row],[Дневная ставка]]</f>
        <v>1.9650989028490178</v>
      </c>
      <c r="E598">
        <v>0</v>
      </c>
      <c r="F598" s="1">
        <f t="shared" si="28"/>
        <v>5562.128661227589</v>
      </c>
    </row>
    <row r="599" spans="1:6" x14ac:dyDescent="0.3">
      <c r="A599" s="3">
        <v>46652</v>
      </c>
      <c r="B599" s="1">
        <f t="shared" si="29"/>
        <v>5562.128661227589</v>
      </c>
      <c r="C599">
        <f t="shared" si="30"/>
        <v>3.5342465753424658E-4</v>
      </c>
      <c r="D599" s="1">
        <f>B599*Table1[[#This Row],[Дневная ставка]]</f>
        <v>1.9657934172557781</v>
      </c>
      <c r="E599">
        <v>0</v>
      </c>
      <c r="F599" s="1">
        <f t="shared" si="28"/>
        <v>5564.0944546448445</v>
      </c>
    </row>
    <row r="600" spans="1:6" x14ac:dyDescent="0.3">
      <c r="A600" s="3">
        <v>46653</v>
      </c>
      <c r="B600" s="1">
        <f t="shared" si="29"/>
        <v>5564.0944546448445</v>
      </c>
      <c r="C600">
        <f t="shared" si="30"/>
        <v>3.5342465753424658E-4</v>
      </c>
      <c r="D600" s="1">
        <f>B600*Table1[[#This Row],[Дневная ставка]]</f>
        <v>1.9664881771210547</v>
      </c>
      <c r="E600">
        <v>0</v>
      </c>
      <c r="F600" s="1">
        <f t="shared" si="28"/>
        <v>5566.0609428219659</v>
      </c>
    </row>
    <row r="601" spans="1:6" x14ac:dyDescent="0.3">
      <c r="A601" s="3">
        <v>46654</v>
      </c>
      <c r="B601" s="1">
        <f t="shared" si="29"/>
        <v>5566.0609428219659</v>
      </c>
      <c r="C601">
        <f t="shared" si="30"/>
        <v>3.5342465753424658E-4</v>
      </c>
      <c r="D601" s="1">
        <f>B601*Table1[[#This Row],[Дневная ставка]]</f>
        <v>1.9671831825315989</v>
      </c>
      <c r="E601">
        <v>0</v>
      </c>
      <c r="F601" s="1">
        <f t="shared" si="28"/>
        <v>5568.0281260044976</v>
      </c>
    </row>
    <row r="602" spans="1:6" x14ac:dyDescent="0.3">
      <c r="A602" s="3">
        <v>46655</v>
      </c>
      <c r="B602" s="1">
        <f t="shared" si="29"/>
        <v>5568.0281260044976</v>
      </c>
      <c r="C602">
        <f t="shared" si="30"/>
        <v>3.5342465753424658E-4</v>
      </c>
      <c r="D602" s="1">
        <f>B602*Table1[[#This Row],[Дневная ставка]]</f>
        <v>1.9678784335741923</v>
      </c>
      <c r="E602">
        <v>0</v>
      </c>
      <c r="F602" s="1">
        <f t="shared" si="28"/>
        <v>5569.9960044380714</v>
      </c>
    </row>
    <row r="603" spans="1:6" x14ac:dyDescent="0.3">
      <c r="A603" s="3">
        <v>46656</v>
      </c>
      <c r="B603" s="1">
        <f t="shared" si="29"/>
        <v>5569.9960044380714</v>
      </c>
      <c r="C603">
        <f t="shared" si="30"/>
        <v>3.5342465753424658E-4</v>
      </c>
      <c r="D603" s="1">
        <f>B603*Table1[[#This Row],[Дневная ставка]]</f>
        <v>1.9685739303356471</v>
      </c>
      <c r="E603">
        <v>0</v>
      </c>
      <c r="F603" s="1">
        <f t="shared" si="28"/>
        <v>5571.9645783684073</v>
      </c>
    </row>
    <row r="604" spans="1:6" x14ac:dyDescent="0.3">
      <c r="A604" s="3">
        <v>46657</v>
      </c>
      <c r="B604" s="1">
        <f t="shared" si="29"/>
        <v>5571.9645783684073</v>
      </c>
      <c r="C604">
        <f t="shared" si="30"/>
        <v>3.5342465753424658E-4</v>
      </c>
      <c r="D604" s="1">
        <f>B604*Table1[[#This Row],[Дневная ставка]]</f>
        <v>1.969269672902807</v>
      </c>
      <c r="E604">
        <v>0</v>
      </c>
      <c r="F604" s="1">
        <f t="shared" si="28"/>
        <v>5573.9338480413098</v>
      </c>
    </row>
    <row r="605" spans="1:6" x14ac:dyDescent="0.3">
      <c r="A605" s="3">
        <v>46658</v>
      </c>
      <c r="B605" s="1">
        <f t="shared" si="29"/>
        <v>5573.9338480413098</v>
      </c>
      <c r="C605">
        <f t="shared" si="30"/>
        <v>3.5342465753424658E-4</v>
      </c>
      <c r="D605" s="1">
        <f>B605*Table1[[#This Row],[Дневная ставка]]</f>
        <v>1.9699656613625451</v>
      </c>
      <c r="E605">
        <v>0</v>
      </c>
      <c r="F605" s="1">
        <f t="shared" si="28"/>
        <v>5575.9038137026728</v>
      </c>
    </row>
    <row r="606" spans="1:6" x14ac:dyDescent="0.3">
      <c r="A606" s="3">
        <v>46659</v>
      </c>
      <c r="B606" s="1">
        <f t="shared" si="29"/>
        <v>5575.9038137026728</v>
      </c>
      <c r="C606">
        <f t="shared" si="30"/>
        <v>3.5342465753424658E-4</v>
      </c>
      <c r="D606" s="1">
        <f>B606*Table1[[#This Row],[Дневная ставка]]</f>
        <v>1.9706618958017665</v>
      </c>
      <c r="E606">
        <v>0</v>
      </c>
      <c r="F606" s="1">
        <f t="shared" si="28"/>
        <v>5577.8744755984744</v>
      </c>
    </row>
    <row r="607" spans="1:6" x14ac:dyDescent="0.3">
      <c r="A607" s="3">
        <v>46660</v>
      </c>
      <c r="B607" s="1">
        <f t="shared" si="29"/>
        <v>5577.8744755984744</v>
      </c>
      <c r="C607">
        <f t="shared" si="30"/>
        <v>3.5342465753424658E-4</v>
      </c>
      <c r="D607" s="1">
        <f>B607*Table1[[#This Row],[Дневная ставка]]</f>
        <v>1.9713583763074061</v>
      </c>
      <c r="E607">
        <v>0</v>
      </c>
      <c r="F607" s="1">
        <f t="shared" si="28"/>
        <v>5579.8458339747822</v>
      </c>
    </row>
    <row r="608" spans="1:6" x14ac:dyDescent="0.3">
      <c r="A608" s="3">
        <v>46661</v>
      </c>
      <c r="B608" s="1">
        <f t="shared" si="29"/>
        <v>5579.8458339747822</v>
      </c>
      <c r="C608">
        <f t="shared" si="30"/>
        <v>3.5342465753424658E-4</v>
      </c>
      <c r="D608" s="1">
        <f>B608*Table1[[#This Row],[Дневная ставка]]</f>
        <v>1.9720551029664299</v>
      </c>
      <c r="E608">
        <v>0</v>
      </c>
      <c r="F608" s="1">
        <f t="shared" si="28"/>
        <v>5581.817889077749</v>
      </c>
    </row>
    <row r="609" spans="1:6" x14ac:dyDescent="0.3">
      <c r="A609" s="3">
        <v>46662</v>
      </c>
      <c r="B609" s="1">
        <f t="shared" si="29"/>
        <v>5581.817889077749</v>
      </c>
      <c r="C609">
        <f t="shared" si="30"/>
        <v>3.5342465753424658E-4</v>
      </c>
      <c r="D609" s="1">
        <f>B609*Table1[[#This Row],[Дневная ставка]]</f>
        <v>1.9727520758658346</v>
      </c>
      <c r="E609">
        <v>0</v>
      </c>
      <c r="F609" s="1">
        <f t="shared" si="28"/>
        <v>5583.7906411536151</v>
      </c>
    </row>
    <row r="610" spans="1:6" x14ac:dyDescent="0.3">
      <c r="A610" s="3">
        <v>46663</v>
      </c>
      <c r="B610" s="1">
        <f t="shared" si="29"/>
        <v>5583.7906411536151</v>
      </c>
      <c r="C610">
        <f t="shared" si="30"/>
        <v>3.5342465753424658E-4</v>
      </c>
      <c r="D610" s="1">
        <f>B610*Table1[[#This Row],[Дневная ставка]]</f>
        <v>1.9734492950926477</v>
      </c>
      <c r="E610">
        <v>0</v>
      </c>
      <c r="F610" s="1">
        <f t="shared" si="28"/>
        <v>5585.764090448708</v>
      </c>
    </row>
    <row r="611" spans="1:6" x14ac:dyDescent="0.3">
      <c r="A611" s="3">
        <v>46664</v>
      </c>
      <c r="B611" s="1">
        <f t="shared" si="29"/>
        <v>5585.764090448708</v>
      </c>
      <c r="C611">
        <f t="shared" si="30"/>
        <v>3.5342465753424658E-4</v>
      </c>
      <c r="D611" s="1">
        <f>B611*Table1[[#This Row],[Дневная ставка]]</f>
        <v>1.9741467607339269</v>
      </c>
      <c r="E611">
        <v>0</v>
      </c>
      <c r="F611" s="1">
        <f t="shared" si="28"/>
        <v>5587.7382372094416</v>
      </c>
    </row>
    <row r="612" spans="1:6" x14ac:dyDescent="0.3">
      <c r="A612" s="3">
        <v>46665</v>
      </c>
      <c r="B612" s="1">
        <f t="shared" si="29"/>
        <v>5587.7382372094416</v>
      </c>
      <c r="C612">
        <f t="shared" si="30"/>
        <v>3.5342465753424658E-4</v>
      </c>
      <c r="D612" s="1">
        <f>B612*Table1[[#This Row],[Дневная ставка]]</f>
        <v>1.9748444728767616</v>
      </c>
      <c r="E612">
        <v>0</v>
      </c>
      <c r="F612" s="1">
        <f t="shared" si="28"/>
        <v>5589.7130816823183</v>
      </c>
    </row>
    <row r="613" spans="1:6" x14ac:dyDescent="0.3">
      <c r="A613" s="3">
        <v>46666</v>
      </c>
      <c r="B613" s="1">
        <f t="shared" si="29"/>
        <v>5589.7130816823183</v>
      </c>
      <c r="C613">
        <f t="shared" si="30"/>
        <v>3.5342465753424658E-4</v>
      </c>
      <c r="D613" s="1">
        <f>B613*Table1[[#This Row],[Дневная ставка]]</f>
        <v>1.9755424316082715</v>
      </c>
      <c r="E613">
        <v>0</v>
      </c>
      <c r="F613" s="1">
        <f t="shared" si="28"/>
        <v>5591.6886241139264</v>
      </c>
    </row>
    <row r="614" spans="1:6" x14ac:dyDescent="0.3">
      <c r="A614" s="3">
        <v>46667</v>
      </c>
      <c r="B614" s="1">
        <f t="shared" si="29"/>
        <v>5591.6886241139264</v>
      </c>
      <c r="C614">
        <f t="shared" si="30"/>
        <v>3.5342465753424658E-4</v>
      </c>
      <c r="D614" s="1">
        <f>B614*Table1[[#This Row],[Дневная ставка]]</f>
        <v>1.9762406370156069</v>
      </c>
      <c r="E614">
        <v>0</v>
      </c>
      <c r="F614" s="1">
        <f t="shared" si="28"/>
        <v>5593.6648647509419</v>
      </c>
    </row>
    <row r="615" spans="1:6" x14ac:dyDescent="0.3">
      <c r="A615" s="3">
        <v>46668</v>
      </c>
      <c r="B615" s="1">
        <f t="shared" si="29"/>
        <v>5593.6648647509419</v>
      </c>
      <c r="C615">
        <f t="shared" si="30"/>
        <v>3.5342465753424658E-4</v>
      </c>
      <c r="D615" s="1">
        <f>B615*Table1[[#This Row],[Дневная ставка]]</f>
        <v>1.9769390891859493</v>
      </c>
      <c r="E615">
        <v>0</v>
      </c>
      <c r="F615" s="1">
        <f t="shared" si="28"/>
        <v>5595.641803840128</v>
      </c>
    </row>
    <row r="616" spans="1:6" x14ac:dyDescent="0.3">
      <c r="A616" s="3">
        <v>46669</v>
      </c>
      <c r="B616" s="1">
        <f t="shared" si="29"/>
        <v>5595.641803840128</v>
      </c>
      <c r="C616">
        <f t="shared" si="30"/>
        <v>3.5342465753424658E-4</v>
      </c>
      <c r="D616" s="1">
        <f>B616*Table1[[#This Row],[Дневная ставка]]</f>
        <v>1.977637788206511</v>
      </c>
      <c r="E616">
        <v>0</v>
      </c>
      <c r="F616" s="1">
        <f t="shared" si="28"/>
        <v>5597.6194416283342</v>
      </c>
    </row>
    <row r="617" spans="1:6" x14ac:dyDescent="0.3">
      <c r="A617" s="3">
        <v>46670</v>
      </c>
      <c r="B617" s="1">
        <f t="shared" si="29"/>
        <v>5597.6194416283342</v>
      </c>
      <c r="C617">
        <f t="shared" si="30"/>
        <v>3.5342465753424658E-4</v>
      </c>
      <c r="D617" s="1">
        <f>B617*Table1[[#This Row],[Дневная ставка]]</f>
        <v>1.9783367341645346</v>
      </c>
      <c r="E617">
        <v>0</v>
      </c>
      <c r="F617" s="1">
        <f t="shared" si="28"/>
        <v>5599.5977783624985</v>
      </c>
    </row>
    <row r="618" spans="1:6" x14ac:dyDescent="0.3">
      <c r="A618" s="3">
        <v>46671</v>
      </c>
      <c r="B618" s="1">
        <f t="shared" si="29"/>
        <v>5599.5977783624985</v>
      </c>
      <c r="C618">
        <f t="shared" si="30"/>
        <v>3.5342465753424658E-4</v>
      </c>
      <c r="D618" s="1">
        <f>B618*Table1[[#This Row],[Дневная ставка]]</f>
        <v>1.9790359271472939</v>
      </c>
      <c r="E618">
        <v>0</v>
      </c>
      <c r="F618" s="1">
        <f t="shared" si="28"/>
        <v>5601.5768142896459</v>
      </c>
    </row>
    <row r="619" spans="1:6" x14ac:dyDescent="0.3">
      <c r="A619" s="3">
        <v>46672</v>
      </c>
      <c r="B619" s="1">
        <f t="shared" si="29"/>
        <v>5601.5768142896459</v>
      </c>
      <c r="C619">
        <f t="shared" si="30"/>
        <v>3.5342465753424658E-4</v>
      </c>
      <c r="D619" s="1">
        <f>B619*Table1[[#This Row],[Дневная ставка]]</f>
        <v>1.9797353672420941</v>
      </c>
      <c r="E619">
        <v>0</v>
      </c>
      <c r="F619" s="1">
        <f t="shared" si="28"/>
        <v>5603.5565496568879</v>
      </c>
    </row>
    <row r="620" spans="1:6" x14ac:dyDescent="0.3">
      <c r="A620" s="3">
        <v>46673</v>
      </c>
      <c r="B620" s="1">
        <f t="shared" si="29"/>
        <v>5603.5565496568879</v>
      </c>
      <c r="C620">
        <f t="shared" si="30"/>
        <v>3.5342465753424658E-4</v>
      </c>
      <c r="D620" s="1">
        <f>B620*Table1[[#This Row],[Дневная ставка]]</f>
        <v>1.9804350545362701</v>
      </c>
      <c r="E620">
        <v>0</v>
      </c>
      <c r="F620" s="1">
        <f t="shared" si="28"/>
        <v>5605.5369847114243</v>
      </c>
    </row>
    <row r="621" spans="1:6" x14ac:dyDescent="0.3">
      <c r="A621" s="3">
        <v>46674</v>
      </c>
      <c r="B621" s="1">
        <f t="shared" si="29"/>
        <v>5605.5369847114243</v>
      </c>
      <c r="C621">
        <f t="shared" si="30"/>
        <v>3.5342465753424658E-4</v>
      </c>
      <c r="D621" s="1">
        <f>B621*Table1[[#This Row],[Дневная ставка]]</f>
        <v>1.9811349891171883</v>
      </c>
      <c r="E621">
        <v>0</v>
      </c>
      <c r="F621" s="1">
        <f t="shared" si="28"/>
        <v>5607.5181197005413</v>
      </c>
    </row>
    <row r="622" spans="1:6" x14ac:dyDescent="0.3">
      <c r="A622" s="3">
        <v>46675</v>
      </c>
      <c r="B622" s="1">
        <f t="shared" si="29"/>
        <v>5607.5181197005413</v>
      </c>
      <c r="C622">
        <f t="shared" si="30"/>
        <v>3.5342465753424658E-4</v>
      </c>
      <c r="D622" s="1">
        <f>B622*Table1[[#This Row],[Дневная ставка]]</f>
        <v>1.9818351710722462</v>
      </c>
      <c r="E622">
        <v>0</v>
      </c>
      <c r="F622" s="1">
        <f t="shared" si="28"/>
        <v>5609.4999548716132</v>
      </c>
    </row>
    <row r="623" spans="1:6" x14ac:dyDescent="0.3">
      <c r="A623" s="3">
        <v>46676</v>
      </c>
      <c r="B623" s="1">
        <f t="shared" si="29"/>
        <v>5609.4999548716132</v>
      </c>
      <c r="C623">
        <f t="shared" si="30"/>
        <v>3.5342465753424658E-4</v>
      </c>
      <c r="D623" s="1">
        <f>B623*Table1[[#This Row],[Дневная ставка]]</f>
        <v>1.9825356004888717</v>
      </c>
      <c r="E623">
        <v>0</v>
      </c>
      <c r="F623" s="1">
        <f t="shared" si="28"/>
        <v>5611.4824904721017</v>
      </c>
    </row>
    <row r="624" spans="1:6" x14ac:dyDescent="0.3">
      <c r="A624" s="3">
        <v>46677</v>
      </c>
      <c r="B624" s="1">
        <f t="shared" si="29"/>
        <v>5611.4824904721017</v>
      </c>
      <c r="C624">
        <f t="shared" si="30"/>
        <v>3.5342465753424658E-4</v>
      </c>
      <c r="D624" s="1">
        <f>B624*Table1[[#This Row],[Дневная ставка]]</f>
        <v>1.9832362774545236</v>
      </c>
      <c r="E624">
        <v>0</v>
      </c>
      <c r="F624" s="1">
        <f t="shared" si="28"/>
        <v>5613.4657267495559</v>
      </c>
    </row>
    <row r="625" spans="1:6" x14ac:dyDescent="0.3">
      <c r="A625" s="3">
        <v>46678</v>
      </c>
      <c r="B625" s="1">
        <f t="shared" si="29"/>
        <v>5613.4657267495559</v>
      </c>
      <c r="C625">
        <f t="shared" si="30"/>
        <v>3.5342465753424658E-4</v>
      </c>
      <c r="D625" s="1">
        <f>B625*Table1[[#This Row],[Дневная ставка]]</f>
        <v>1.9839372020566923</v>
      </c>
      <c r="E625">
        <v>0</v>
      </c>
      <c r="F625" s="1">
        <f t="shared" si="28"/>
        <v>5615.4496639516128</v>
      </c>
    </row>
    <row r="626" spans="1:6" x14ac:dyDescent="0.3">
      <c r="A626" s="3">
        <v>46679</v>
      </c>
      <c r="B626" s="1">
        <f t="shared" si="29"/>
        <v>5615.4496639516128</v>
      </c>
      <c r="C626">
        <f t="shared" si="30"/>
        <v>3.5342465753424658E-4</v>
      </c>
      <c r="D626" s="1">
        <f>B626*Table1[[#This Row],[Дневная ставка]]</f>
        <v>1.9846383743828988</v>
      </c>
      <c r="E626">
        <v>650.05999999999995</v>
      </c>
      <c r="F626" s="1">
        <f t="shared" si="28"/>
        <v>4967.3743023259958</v>
      </c>
    </row>
    <row r="627" spans="1:6" x14ac:dyDescent="0.3">
      <c r="A627" s="3">
        <v>46680</v>
      </c>
      <c r="B627" s="1">
        <f t="shared" si="29"/>
        <v>4967.3743023259958</v>
      </c>
      <c r="C627">
        <f t="shared" si="30"/>
        <v>3.5342465753424658E-4</v>
      </c>
      <c r="D627" s="1">
        <f>B627*Table1[[#This Row],[Дневная ставка]]</f>
        <v>1.755592561643982</v>
      </c>
      <c r="E627">
        <v>0</v>
      </c>
      <c r="F627" s="1">
        <f t="shared" si="28"/>
        <v>4969.1298948876401</v>
      </c>
    </row>
    <row r="628" spans="1:6" x14ac:dyDescent="0.3">
      <c r="A628" s="3">
        <v>46681</v>
      </c>
      <c r="B628" s="1">
        <f t="shared" si="29"/>
        <v>4969.1298948876401</v>
      </c>
      <c r="C628">
        <f t="shared" si="30"/>
        <v>3.5342465753424658E-4</v>
      </c>
      <c r="D628" s="1">
        <f>B628*Table1[[#This Row],[Дневная ставка]]</f>
        <v>1.7562130313438509</v>
      </c>
      <c r="E628">
        <v>0</v>
      </c>
      <c r="F628" s="1">
        <f t="shared" si="28"/>
        <v>4970.8861079189837</v>
      </c>
    </row>
    <row r="629" spans="1:6" x14ac:dyDescent="0.3">
      <c r="A629" s="3">
        <v>46682</v>
      </c>
      <c r="B629" s="1">
        <f t="shared" si="29"/>
        <v>4970.8861079189837</v>
      </c>
      <c r="C629">
        <f t="shared" si="30"/>
        <v>3.5342465753424658E-4</v>
      </c>
      <c r="D629" s="1">
        <f>B629*Table1[[#This Row],[Дневная ставка]]</f>
        <v>1.7568337203330107</v>
      </c>
      <c r="E629">
        <v>0</v>
      </c>
      <c r="F629" s="1">
        <f t="shared" si="28"/>
        <v>4972.6429416393166</v>
      </c>
    </row>
    <row r="630" spans="1:6" x14ac:dyDescent="0.3">
      <c r="A630" s="3">
        <v>46683</v>
      </c>
      <c r="B630" s="1">
        <f t="shared" si="29"/>
        <v>4972.6429416393166</v>
      </c>
      <c r="C630">
        <f t="shared" si="30"/>
        <v>3.5342465753424658E-4</v>
      </c>
      <c r="D630" s="1">
        <f>B630*Table1[[#This Row],[Дневная ставка]]</f>
        <v>1.7574546286889641</v>
      </c>
      <c r="E630">
        <v>0</v>
      </c>
      <c r="F630" s="1">
        <f t="shared" si="28"/>
        <v>4974.4003962680054</v>
      </c>
    </row>
    <row r="631" spans="1:6" x14ac:dyDescent="0.3">
      <c r="A631" s="3">
        <v>46684</v>
      </c>
      <c r="B631" s="1">
        <f t="shared" si="29"/>
        <v>4974.4003962680054</v>
      </c>
      <c r="C631">
        <f t="shared" si="30"/>
        <v>3.5342465753424658E-4</v>
      </c>
      <c r="D631" s="1">
        <f>B631*Table1[[#This Row],[Дневная ставка]]</f>
        <v>1.7580757564892402</v>
      </c>
      <c r="E631">
        <v>0</v>
      </c>
      <c r="F631" s="1">
        <f t="shared" si="28"/>
        <v>4976.1584720244946</v>
      </c>
    </row>
    <row r="632" spans="1:6" x14ac:dyDescent="0.3">
      <c r="A632" s="3">
        <v>46685</v>
      </c>
      <c r="B632" s="1">
        <f t="shared" si="29"/>
        <v>4976.1584720244946</v>
      </c>
      <c r="C632">
        <f t="shared" si="30"/>
        <v>3.5342465753424658E-4</v>
      </c>
      <c r="D632" s="1">
        <f>B632*Table1[[#This Row],[Дневная ставка]]</f>
        <v>1.7586971038113968</v>
      </c>
      <c r="E632">
        <v>0</v>
      </c>
      <c r="F632" s="1">
        <f t="shared" si="28"/>
        <v>4977.9171691283063</v>
      </c>
    </row>
    <row r="633" spans="1:6" x14ac:dyDescent="0.3">
      <c r="A633" s="3">
        <v>46686</v>
      </c>
      <c r="B633" s="1">
        <f t="shared" si="29"/>
        <v>4977.9171691283063</v>
      </c>
      <c r="C633">
        <f t="shared" si="30"/>
        <v>3.5342465753424658E-4</v>
      </c>
      <c r="D633" s="1">
        <f>B633*Table1[[#This Row],[Дневная ставка]]</f>
        <v>1.759318670733018</v>
      </c>
      <c r="E633">
        <v>0</v>
      </c>
      <c r="F633" s="1">
        <f t="shared" si="28"/>
        <v>4979.676487799039</v>
      </c>
    </row>
    <row r="634" spans="1:6" x14ac:dyDescent="0.3">
      <c r="A634" s="3">
        <v>46687</v>
      </c>
      <c r="B634" s="1">
        <f t="shared" si="29"/>
        <v>4979.676487799039</v>
      </c>
      <c r="C634">
        <f t="shared" si="30"/>
        <v>3.5342465753424658E-4</v>
      </c>
      <c r="D634" s="1">
        <f>B634*Table1[[#This Row],[Дневная ставка]]</f>
        <v>1.7599404573317152</v>
      </c>
      <c r="E634">
        <v>0</v>
      </c>
      <c r="F634" s="1">
        <f t="shared" si="28"/>
        <v>4981.4364282563711</v>
      </c>
    </row>
    <row r="635" spans="1:6" x14ac:dyDescent="0.3">
      <c r="A635" s="3">
        <v>46688</v>
      </c>
      <c r="B635" s="1">
        <f t="shared" si="29"/>
        <v>4981.4364282563711</v>
      </c>
      <c r="C635">
        <f t="shared" si="30"/>
        <v>3.5342465753424658E-4</v>
      </c>
      <c r="D635" s="1">
        <f>B635*Table1[[#This Row],[Дневная ставка]]</f>
        <v>1.7605624636851285</v>
      </c>
      <c r="E635">
        <v>0</v>
      </c>
      <c r="F635" s="1">
        <f t="shared" si="28"/>
        <v>4983.1969907200564</v>
      </c>
    </row>
    <row r="636" spans="1:6" x14ac:dyDescent="0.3">
      <c r="A636" s="3">
        <v>46689</v>
      </c>
      <c r="B636" s="1">
        <f t="shared" si="29"/>
        <v>4983.1969907200564</v>
      </c>
      <c r="C636">
        <f t="shared" si="30"/>
        <v>3.5342465753424658E-4</v>
      </c>
      <c r="D636" s="1">
        <f>B636*Table1[[#This Row],[Дневная ставка]]</f>
        <v>1.761184689870924</v>
      </c>
      <c r="E636">
        <v>0</v>
      </c>
      <c r="F636" s="1">
        <f t="shared" si="28"/>
        <v>4984.9581754099272</v>
      </c>
    </row>
    <row r="637" spans="1:6" x14ac:dyDescent="0.3">
      <c r="A637" s="3">
        <v>46690</v>
      </c>
      <c r="B637" s="1">
        <f t="shared" si="29"/>
        <v>4984.9581754099272</v>
      </c>
      <c r="C637">
        <f t="shared" si="30"/>
        <v>3.5342465753424658E-4</v>
      </c>
      <c r="D637" s="1">
        <f>B637*Table1[[#This Row],[Дневная ставка]]</f>
        <v>1.7618071359667962</v>
      </c>
      <c r="E637">
        <v>0</v>
      </c>
      <c r="F637" s="1">
        <f t="shared" si="28"/>
        <v>4986.7199825458938</v>
      </c>
    </row>
    <row r="638" spans="1:6" x14ac:dyDescent="0.3">
      <c r="A638" s="3">
        <v>46691</v>
      </c>
      <c r="B638" s="1">
        <f t="shared" si="29"/>
        <v>4986.7199825458938</v>
      </c>
      <c r="C638">
        <f t="shared" si="30"/>
        <v>3.5342465753424658E-4</v>
      </c>
      <c r="D638" s="1">
        <f>B638*Table1[[#This Row],[Дневная ставка]]</f>
        <v>1.7624298020504665</v>
      </c>
      <c r="E638">
        <v>0</v>
      </c>
      <c r="F638" s="1">
        <f t="shared" si="28"/>
        <v>4988.4824123479439</v>
      </c>
    </row>
    <row r="639" spans="1:6" x14ac:dyDescent="0.3">
      <c r="A639" s="3">
        <v>46692</v>
      </c>
      <c r="B639" s="1">
        <f t="shared" si="29"/>
        <v>4988.4824123479439</v>
      </c>
      <c r="C639">
        <f t="shared" si="30"/>
        <v>3.5342465753424658E-4</v>
      </c>
      <c r="D639" s="1">
        <f>B639*Table1[[#This Row],[Дневная ставка]]</f>
        <v>1.7630526881996844</v>
      </c>
      <c r="E639">
        <v>0</v>
      </c>
      <c r="F639" s="1">
        <f t="shared" si="28"/>
        <v>4990.2454650361433</v>
      </c>
    </row>
    <row r="640" spans="1:6" x14ac:dyDescent="0.3">
      <c r="A640" s="3">
        <v>46693</v>
      </c>
      <c r="B640" s="1">
        <f t="shared" si="29"/>
        <v>4990.2454650361433</v>
      </c>
      <c r="C640">
        <f t="shared" si="30"/>
        <v>3.5342465753424658E-4</v>
      </c>
      <c r="D640" s="1">
        <f>B640*Table1[[#This Row],[Дневная ставка]]</f>
        <v>1.7636757944922261</v>
      </c>
      <c r="E640">
        <v>0</v>
      </c>
      <c r="F640" s="1">
        <f t="shared" si="28"/>
        <v>4992.0091408306353</v>
      </c>
    </row>
    <row r="641" spans="1:6" x14ac:dyDescent="0.3">
      <c r="A641" s="3">
        <v>46694</v>
      </c>
      <c r="B641" s="1">
        <f t="shared" si="29"/>
        <v>4992.0091408306353</v>
      </c>
      <c r="C641">
        <f t="shared" si="30"/>
        <v>3.5342465753424658E-4</v>
      </c>
      <c r="D641" s="1">
        <f>B641*Table1[[#This Row],[Дневная ставка]]</f>
        <v>1.7642991210058958</v>
      </c>
      <c r="E641">
        <v>0</v>
      </c>
      <c r="F641" s="1">
        <f t="shared" si="28"/>
        <v>4993.7734399516412</v>
      </c>
    </row>
    <row r="642" spans="1:6" x14ac:dyDescent="0.3">
      <c r="A642" s="3">
        <v>46695</v>
      </c>
      <c r="B642" s="1">
        <f t="shared" si="29"/>
        <v>4993.7734399516412</v>
      </c>
      <c r="C642">
        <f t="shared" si="30"/>
        <v>3.5342465753424658E-4</v>
      </c>
      <c r="D642" s="1">
        <f>B642*Table1[[#This Row],[Дневная ставка]]</f>
        <v>1.7649226678185252</v>
      </c>
      <c r="E642">
        <v>0</v>
      </c>
      <c r="F642" s="1">
        <f t="shared" si="28"/>
        <v>4995.5383626194598</v>
      </c>
    </row>
    <row r="643" spans="1:6" x14ac:dyDescent="0.3">
      <c r="A643" s="3">
        <v>46696</v>
      </c>
      <c r="B643" s="1">
        <f t="shared" si="29"/>
        <v>4995.5383626194598</v>
      </c>
      <c r="C643">
        <f t="shared" si="30"/>
        <v>3.5342465753424658E-4</v>
      </c>
      <c r="D643" s="1">
        <f>B643*Table1[[#This Row],[Дневная ставка]]</f>
        <v>1.7655464350079735</v>
      </c>
      <c r="E643">
        <v>0</v>
      </c>
      <c r="F643" s="1">
        <f t="shared" ref="F643:F706" si="31">B643+D643-E643</f>
        <v>4997.303909054468</v>
      </c>
    </row>
    <row r="644" spans="1:6" x14ac:dyDescent="0.3">
      <c r="A644" s="3">
        <v>46697</v>
      </c>
      <c r="B644" s="1">
        <f t="shared" ref="B644:B707" si="32">F643</f>
        <v>4997.303909054468</v>
      </c>
      <c r="C644">
        <f t="shared" si="30"/>
        <v>3.5342465753424658E-4</v>
      </c>
      <c r="D644" s="1">
        <f>B644*Table1[[#This Row],[Дневная ставка]]</f>
        <v>1.7661704226521271</v>
      </c>
      <c r="E644">
        <v>0</v>
      </c>
      <c r="F644" s="1">
        <f t="shared" si="31"/>
        <v>4999.0700794771201</v>
      </c>
    </row>
    <row r="645" spans="1:6" x14ac:dyDescent="0.3">
      <c r="A645" s="3">
        <v>46698</v>
      </c>
      <c r="B645" s="1">
        <f t="shared" si="32"/>
        <v>4999.0700794771201</v>
      </c>
      <c r="C645">
        <f t="shared" si="30"/>
        <v>3.5342465753424658E-4</v>
      </c>
      <c r="D645" s="1">
        <f>B645*Table1[[#This Row],[Дневная ставка]]</f>
        <v>1.7667946308289</v>
      </c>
      <c r="E645">
        <v>0</v>
      </c>
      <c r="F645" s="1">
        <f t="shared" si="31"/>
        <v>5000.8368741079494</v>
      </c>
    </row>
    <row r="646" spans="1:6" x14ac:dyDescent="0.3">
      <c r="A646" s="3">
        <v>46699</v>
      </c>
      <c r="B646" s="1">
        <f t="shared" si="32"/>
        <v>5000.8368741079494</v>
      </c>
      <c r="C646">
        <f t="shared" si="30"/>
        <v>3.5342465753424658E-4</v>
      </c>
      <c r="D646" s="1">
        <f>B646*Table1[[#This Row],[Дневная ставка]]</f>
        <v>1.7674190596162342</v>
      </c>
      <c r="E646">
        <v>0</v>
      </c>
      <c r="F646" s="1">
        <f t="shared" si="31"/>
        <v>5002.6042931675656</v>
      </c>
    </row>
    <row r="647" spans="1:6" x14ac:dyDescent="0.3">
      <c r="A647" s="3">
        <v>46700</v>
      </c>
      <c r="B647" s="1">
        <f t="shared" si="32"/>
        <v>5002.6042931675656</v>
      </c>
      <c r="C647">
        <f t="shared" si="30"/>
        <v>3.5342465753424658E-4</v>
      </c>
      <c r="D647" s="1">
        <f>B647*Table1[[#This Row],[Дневная ставка]]</f>
        <v>1.7680437090920986</v>
      </c>
      <c r="E647">
        <v>0</v>
      </c>
      <c r="F647" s="1">
        <f t="shared" si="31"/>
        <v>5004.3723368766578</v>
      </c>
    </row>
    <row r="648" spans="1:6" x14ac:dyDescent="0.3">
      <c r="A648" s="3">
        <v>46701</v>
      </c>
      <c r="B648" s="1">
        <f t="shared" si="32"/>
        <v>5004.3723368766578</v>
      </c>
      <c r="C648">
        <f t="shared" si="30"/>
        <v>3.5342465753424658E-4</v>
      </c>
      <c r="D648" s="1">
        <f>B648*Table1[[#This Row],[Дневная ставка]]</f>
        <v>1.7686685793344901</v>
      </c>
      <c r="E648">
        <v>0</v>
      </c>
      <c r="F648" s="1">
        <f t="shared" si="31"/>
        <v>5006.1410054559919</v>
      </c>
    </row>
    <row r="649" spans="1:6" x14ac:dyDescent="0.3">
      <c r="A649" s="3">
        <v>46702</v>
      </c>
      <c r="B649" s="1">
        <f t="shared" si="32"/>
        <v>5006.1410054559919</v>
      </c>
      <c r="C649">
        <f t="shared" si="30"/>
        <v>3.5342465753424658E-4</v>
      </c>
      <c r="D649" s="1">
        <f>B649*Table1[[#This Row],[Дневная ставка]]</f>
        <v>1.7692936704214328</v>
      </c>
      <c r="E649">
        <v>0</v>
      </c>
      <c r="F649" s="1">
        <f t="shared" si="31"/>
        <v>5007.9102991264135</v>
      </c>
    </row>
    <row r="650" spans="1:6" x14ac:dyDescent="0.3">
      <c r="A650" s="3">
        <v>46703</v>
      </c>
      <c r="B650" s="1">
        <f t="shared" si="32"/>
        <v>5007.9102991264135</v>
      </c>
      <c r="C650">
        <f t="shared" si="30"/>
        <v>3.5342465753424658E-4</v>
      </c>
      <c r="D650" s="1">
        <f>B650*Table1[[#This Row],[Дневная ставка]]</f>
        <v>1.7699189824309791</v>
      </c>
      <c r="E650">
        <v>0</v>
      </c>
      <c r="F650" s="1">
        <f t="shared" si="31"/>
        <v>5009.6802181088442</v>
      </c>
    </row>
    <row r="651" spans="1:6" x14ac:dyDescent="0.3">
      <c r="A651" s="3">
        <v>46704</v>
      </c>
      <c r="B651" s="1">
        <f t="shared" si="32"/>
        <v>5009.6802181088442</v>
      </c>
      <c r="C651">
        <f t="shared" si="30"/>
        <v>3.5342465753424658E-4</v>
      </c>
      <c r="D651" s="1">
        <f>B651*Table1[[#This Row],[Дневная ставка]]</f>
        <v>1.7705445154412081</v>
      </c>
      <c r="E651">
        <v>0</v>
      </c>
      <c r="F651" s="1">
        <f t="shared" si="31"/>
        <v>5011.4507626242857</v>
      </c>
    </row>
    <row r="652" spans="1:6" x14ac:dyDescent="0.3">
      <c r="A652" s="3">
        <v>46705</v>
      </c>
      <c r="B652" s="1">
        <f t="shared" si="32"/>
        <v>5011.4507626242857</v>
      </c>
      <c r="C652">
        <f t="shared" si="30"/>
        <v>3.5342465753424658E-4</v>
      </c>
      <c r="D652" s="1">
        <f>B652*Table1[[#This Row],[Дневная ставка]]</f>
        <v>1.7711702695302272</v>
      </c>
      <c r="E652">
        <v>0</v>
      </c>
      <c r="F652" s="1">
        <f t="shared" si="31"/>
        <v>5013.2219328938163</v>
      </c>
    </row>
    <row r="653" spans="1:6" x14ac:dyDescent="0.3">
      <c r="A653" s="3">
        <v>46706</v>
      </c>
      <c r="B653" s="1">
        <f t="shared" si="32"/>
        <v>5013.2219328938163</v>
      </c>
      <c r="C653">
        <f t="shared" si="30"/>
        <v>3.5342465753424658E-4</v>
      </c>
      <c r="D653" s="1">
        <f>B653*Table1[[#This Row],[Дневная ставка]]</f>
        <v>1.7717962447761708</v>
      </c>
      <c r="E653">
        <v>0</v>
      </c>
      <c r="F653" s="1">
        <f t="shared" si="31"/>
        <v>5014.9937291385922</v>
      </c>
    </row>
    <row r="654" spans="1:6" x14ac:dyDescent="0.3">
      <c r="A654" s="3">
        <v>46707</v>
      </c>
      <c r="B654" s="1">
        <f t="shared" si="32"/>
        <v>5014.9937291385922</v>
      </c>
      <c r="C654">
        <f t="shared" si="30"/>
        <v>3.5342465753424658E-4</v>
      </c>
      <c r="D654" s="1">
        <f>B654*Table1[[#This Row],[Дневная ставка]]</f>
        <v>1.7724224412572012</v>
      </c>
      <c r="E654">
        <v>0</v>
      </c>
      <c r="F654" s="1">
        <f t="shared" si="31"/>
        <v>5016.7661515798491</v>
      </c>
    </row>
    <row r="655" spans="1:6" x14ac:dyDescent="0.3">
      <c r="A655" s="3">
        <v>46708</v>
      </c>
      <c r="B655" s="1">
        <f t="shared" si="32"/>
        <v>5016.7661515798491</v>
      </c>
      <c r="C655">
        <f t="shared" si="30"/>
        <v>3.5342465753424658E-4</v>
      </c>
      <c r="D655" s="1">
        <f>B655*Table1[[#This Row],[Дневная ставка]]</f>
        <v>1.7730488590515083</v>
      </c>
      <c r="E655">
        <v>0</v>
      </c>
      <c r="F655" s="1">
        <f t="shared" si="31"/>
        <v>5018.5392004389005</v>
      </c>
    </row>
    <row r="656" spans="1:6" x14ac:dyDescent="0.3">
      <c r="A656" s="3">
        <v>46709</v>
      </c>
      <c r="B656" s="1">
        <f t="shared" si="32"/>
        <v>5018.5392004389005</v>
      </c>
      <c r="C656">
        <f t="shared" si="30"/>
        <v>3.5342465753424658E-4</v>
      </c>
      <c r="D656" s="1">
        <f>B656*Table1[[#This Row],[Дневная ставка]]</f>
        <v>1.77367549823731</v>
      </c>
      <c r="E656">
        <v>0</v>
      </c>
      <c r="F656" s="1">
        <f t="shared" si="31"/>
        <v>5020.3128759371375</v>
      </c>
    </row>
    <row r="657" spans="1:6" x14ac:dyDescent="0.3">
      <c r="A657" s="3">
        <v>46710</v>
      </c>
      <c r="B657" s="1">
        <f t="shared" si="32"/>
        <v>5020.3128759371375</v>
      </c>
      <c r="C657">
        <f t="shared" si="30"/>
        <v>3.5342465753424658E-4</v>
      </c>
      <c r="D657" s="1">
        <f>B657*Table1[[#This Row],[Дневная ставка]]</f>
        <v>1.7743023588928515</v>
      </c>
      <c r="E657">
        <v>650.05999999999995</v>
      </c>
      <c r="F657" s="1">
        <f t="shared" si="31"/>
        <v>4372.0271782960299</v>
      </c>
    </row>
    <row r="658" spans="1:6" x14ac:dyDescent="0.3">
      <c r="A658" s="3">
        <v>46711</v>
      </c>
      <c r="B658" s="1">
        <f t="shared" si="32"/>
        <v>4372.0271782960299</v>
      </c>
      <c r="C658">
        <f t="shared" si="30"/>
        <v>3.5342465753424658E-4</v>
      </c>
      <c r="D658" s="1">
        <f>B658*Table1[[#This Row],[Дневная ставка]]</f>
        <v>1.5451822082196929</v>
      </c>
      <c r="E658">
        <v>0</v>
      </c>
      <c r="F658" s="1">
        <f t="shared" si="31"/>
        <v>4373.5723605042494</v>
      </c>
    </row>
    <row r="659" spans="1:6" x14ac:dyDescent="0.3">
      <c r="A659" s="3">
        <v>46712</v>
      </c>
      <c r="B659" s="1">
        <f t="shared" si="32"/>
        <v>4373.5723605042494</v>
      </c>
      <c r="C659">
        <f t="shared" si="30"/>
        <v>3.5342465753424658E-4</v>
      </c>
      <c r="D659" s="1">
        <f>B659*Table1[[#This Row],[Дневная ставка]]</f>
        <v>1.5457283137124609</v>
      </c>
      <c r="E659">
        <v>0</v>
      </c>
      <c r="F659" s="1">
        <f t="shared" si="31"/>
        <v>4375.1180888179615</v>
      </c>
    </row>
    <row r="660" spans="1:6" x14ac:dyDescent="0.3">
      <c r="A660" s="3">
        <v>46713</v>
      </c>
      <c r="B660" s="1">
        <f t="shared" si="32"/>
        <v>4375.1180888179615</v>
      </c>
      <c r="C660">
        <f t="shared" ref="C660:C723" si="33">(12.9%/365)</f>
        <v>3.5342465753424658E-4</v>
      </c>
      <c r="D660" s="1">
        <f>B660*Table1[[#This Row],[Дневная ставка]]</f>
        <v>1.5462746122123754</v>
      </c>
      <c r="E660">
        <v>0</v>
      </c>
      <c r="F660" s="1">
        <f t="shared" si="31"/>
        <v>4376.6643634301736</v>
      </c>
    </row>
    <row r="661" spans="1:6" x14ac:dyDescent="0.3">
      <c r="A661" s="3">
        <v>46714</v>
      </c>
      <c r="B661" s="1">
        <f t="shared" si="32"/>
        <v>4376.6643634301736</v>
      </c>
      <c r="C661">
        <f t="shared" si="33"/>
        <v>3.5342465753424658E-4</v>
      </c>
      <c r="D661" s="1">
        <f>B661*Table1[[#This Row],[Дневная ставка]]</f>
        <v>1.5468211037876505</v>
      </c>
      <c r="E661">
        <v>0</v>
      </c>
      <c r="F661" s="1">
        <f t="shared" si="31"/>
        <v>4378.2111845339614</v>
      </c>
    </row>
    <row r="662" spans="1:6" x14ac:dyDescent="0.3">
      <c r="A662" s="3">
        <v>46715</v>
      </c>
      <c r="B662" s="1">
        <f t="shared" si="32"/>
        <v>4378.2111845339614</v>
      </c>
      <c r="C662">
        <f t="shared" si="33"/>
        <v>3.5342465753424658E-4</v>
      </c>
      <c r="D662" s="1">
        <f>B662*Table1[[#This Row],[Дневная ставка]]</f>
        <v>1.5473677885065233</v>
      </c>
      <c r="E662">
        <v>0</v>
      </c>
      <c r="F662" s="1">
        <f t="shared" si="31"/>
        <v>4379.7585523224679</v>
      </c>
    </row>
    <row r="663" spans="1:6" x14ac:dyDescent="0.3">
      <c r="A663" s="3">
        <v>46716</v>
      </c>
      <c r="B663" s="1">
        <f t="shared" si="32"/>
        <v>4379.7585523224679</v>
      </c>
      <c r="C663">
        <f t="shared" si="33"/>
        <v>3.5342465753424658E-4</v>
      </c>
      <c r="D663" s="1">
        <f>B663*Table1[[#This Row],[Дневная ставка]]</f>
        <v>1.5479146664372558</v>
      </c>
      <c r="E663">
        <v>0</v>
      </c>
      <c r="F663" s="1">
        <f t="shared" si="31"/>
        <v>4381.3064669889054</v>
      </c>
    </row>
    <row r="664" spans="1:6" x14ac:dyDescent="0.3">
      <c r="A664" s="3">
        <v>46717</v>
      </c>
      <c r="B664" s="1">
        <f t="shared" si="32"/>
        <v>4381.3064669889054</v>
      </c>
      <c r="C664">
        <f t="shared" si="33"/>
        <v>3.5342465753424658E-4</v>
      </c>
      <c r="D664" s="1">
        <f>B664*Table1[[#This Row],[Дневная ставка]]</f>
        <v>1.5484617376481338</v>
      </c>
      <c r="E664">
        <v>0</v>
      </c>
      <c r="F664" s="1">
        <f t="shared" si="31"/>
        <v>4382.8549287265532</v>
      </c>
    </row>
    <row r="665" spans="1:6" x14ac:dyDescent="0.3">
      <c r="A665" s="3">
        <v>46718</v>
      </c>
      <c r="B665" s="1">
        <f t="shared" si="32"/>
        <v>4382.8549287265532</v>
      </c>
      <c r="C665">
        <f t="shared" si="33"/>
        <v>3.5342465753424658E-4</v>
      </c>
      <c r="D665" s="1">
        <f>B665*Table1[[#This Row],[Дневная ставка]]</f>
        <v>1.5490090022074667</v>
      </c>
      <c r="E665">
        <v>0</v>
      </c>
      <c r="F665" s="1">
        <f t="shared" si="31"/>
        <v>4384.4039377287609</v>
      </c>
    </row>
    <row r="666" spans="1:6" x14ac:dyDescent="0.3">
      <c r="A666" s="3">
        <v>46719</v>
      </c>
      <c r="B666" s="1">
        <f t="shared" si="32"/>
        <v>4384.4039377287609</v>
      </c>
      <c r="C666">
        <f t="shared" si="33"/>
        <v>3.5342465753424658E-4</v>
      </c>
      <c r="D666" s="1">
        <f>B666*Table1[[#This Row],[Дневная ставка]]</f>
        <v>1.5495564601835894</v>
      </c>
      <c r="E666">
        <v>0</v>
      </c>
      <c r="F666" s="1">
        <f t="shared" si="31"/>
        <v>4385.9534941889442</v>
      </c>
    </row>
    <row r="667" spans="1:6" x14ac:dyDescent="0.3">
      <c r="A667" s="3">
        <v>46720</v>
      </c>
      <c r="B667" s="1">
        <f t="shared" si="32"/>
        <v>4385.9534941889442</v>
      </c>
      <c r="C667">
        <f t="shared" si="33"/>
        <v>3.5342465753424658E-4</v>
      </c>
      <c r="D667" s="1">
        <f>B667*Table1[[#This Row],[Дневная ставка]]</f>
        <v>1.5501041116448597</v>
      </c>
      <c r="E667">
        <v>0</v>
      </c>
      <c r="F667" s="1">
        <f t="shared" si="31"/>
        <v>4387.5035983005891</v>
      </c>
    </row>
    <row r="668" spans="1:6" x14ac:dyDescent="0.3">
      <c r="A668" s="3">
        <v>46721</v>
      </c>
      <c r="B668" s="1">
        <f t="shared" si="32"/>
        <v>4387.5035983005891</v>
      </c>
      <c r="C668">
        <f t="shared" si="33"/>
        <v>3.5342465753424658E-4</v>
      </c>
      <c r="D668" s="1">
        <f>B668*Table1[[#This Row],[Дневная ставка]]</f>
        <v>1.5506519566596604</v>
      </c>
      <c r="E668">
        <v>0</v>
      </c>
      <c r="F668" s="1">
        <f t="shared" si="31"/>
        <v>4389.0542502572489</v>
      </c>
    </row>
    <row r="669" spans="1:6" x14ac:dyDescent="0.3">
      <c r="A669" s="3">
        <v>46722</v>
      </c>
      <c r="B669" s="1">
        <f t="shared" si="32"/>
        <v>4389.0542502572489</v>
      </c>
      <c r="C669">
        <f t="shared" si="33"/>
        <v>3.5342465753424658E-4</v>
      </c>
      <c r="D669" s="1">
        <f>B669*Table1[[#This Row],[Дневная ставка]]</f>
        <v>1.5511999952963975</v>
      </c>
      <c r="E669">
        <v>0</v>
      </c>
      <c r="F669" s="1">
        <f t="shared" si="31"/>
        <v>4390.6054502525449</v>
      </c>
    </row>
    <row r="670" spans="1:6" x14ac:dyDescent="0.3">
      <c r="A670" s="3">
        <v>46723</v>
      </c>
      <c r="B670" s="1">
        <f t="shared" si="32"/>
        <v>4390.6054502525449</v>
      </c>
      <c r="C670">
        <f t="shared" si="33"/>
        <v>3.5342465753424658E-4</v>
      </c>
      <c r="D670" s="1">
        <f>B670*Table1[[#This Row],[Дневная ставка]]</f>
        <v>1.5517482276235022</v>
      </c>
      <c r="E670">
        <v>0</v>
      </c>
      <c r="F670" s="1">
        <f t="shared" si="31"/>
        <v>4392.1571984801685</v>
      </c>
    </row>
    <row r="671" spans="1:6" x14ac:dyDescent="0.3">
      <c r="A671" s="3">
        <v>46724</v>
      </c>
      <c r="B671" s="1">
        <f t="shared" si="32"/>
        <v>4392.1571984801685</v>
      </c>
      <c r="C671">
        <f t="shared" si="33"/>
        <v>3.5342465753424658E-4</v>
      </c>
      <c r="D671" s="1">
        <f>B671*Table1[[#This Row],[Дневная ставка]]</f>
        <v>1.5522966537094294</v>
      </c>
      <c r="E671">
        <v>0</v>
      </c>
      <c r="F671" s="1">
        <f t="shared" si="31"/>
        <v>4393.7094951338777</v>
      </c>
    </row>
    <row r="672" spans="1:6" x14ac:dyDescent="0.3">
      <c r="A672" s="3">
        <v>46725</v>
      </c>
      <c r="B672" s="1">
        <f t="shared" si="32"/>
        <v>4393.7094951338777</v>
      </c>
      <c r="C672">
        <f t="shared" si="33"/>
        <v>3.5342465753424658E-4</v>
      </c>
      <c r="D672" s="1">
        <f>B672*Table1[[#This Row],[Дневная ставка]]</f>
        <v>1.5528452736226581</v>
      </c>
      <c r="E672">
        <v>0</v>
      </c>
      <c r="F672" s="1">
        <f t="shared" si="31"/>
        <v>4395.2623404075002</v>
      </c>
    </row>
    <row r="673" spans="1:6" x14ac:dyDescent="0.3">
      <c r="A673" s="3">
        <v>46726</v>
      </c>
      <c r="B673" s="1">
        <f t="shared" si="32"/>
        <v>4395.2623404075002</v>
      </c>
      <c r="C673">
        <f t="shared" si="33"/>
        <v>3.5342465753424658E-4</v>
      </c>
      <c r="D673" s="1">
        <f>B673*Table1[[#This Row],[Дневная ставка]]</f>
        <v>1.5533940874316918</v>
      </c>
      <c r="E673">
        <v>0</v>
      </c>
      <c r="F673" s="1">
        <f t="shared" si="31"/>
        <v>4396.8157344949323</v>
      </c>
    </row>
    <row r="674" spans="1:6" x14ac:dyDescent="0.3">
      <c r="A674" s="3">
        <v>46727</v>
      </c>
      <c r="B674" s="1">
        <f t="shared" si="32"/>
        <v>4396.8157344949323</v>
      </c>
      <c r="C674">
        <f t="shared" si="33"/>
        <v>3.5342465753424658E-4</v>
      </c>
      <c r="D674" s="1">
        <f>B674*Table1[[#This Row],[Дневная ставка]]</f>
        <v>1.5539430952050584</v>
      </c>
      <c r="E674">
        <v>0</v>
      </c>
      <c r="F674" s="1">
        <f t="shared" si="31"/>
        <v>4398.3696775901371</v>
      </c>
    </row>
    <row r="675" spans="1:6" x14ac:dyDescent="0.3">
      <c r="A675" s="3">
        <v>46728</v>
      </c>
      <c r="B675" s="1">
        <f t="shared" si="32"/>
        <v>4398.3696775901371</v>
      </c>
      <c r="C675">
        <f t="shared" si="33"/>
        <v>3.5342465753424658E-4</v>
      </c>
      <c r="D675" s="1">
        <f>B675*Table1[[#This Row],[Дневная ставка]]</f>
        <v>1.5544922970113089</v>
      </c>
      <c r="E675">
        <v>0</v>
      </c>
      <c r="F675" s="1">
        <f t="shared" si="31"/>
        <v>4399.9241698871483</v>
      </c>
    </row>
    <row r="676" spans="1:6" x14ac:dyDescent="0.3">
      <c r="A676" s="3">
        <v>46729</v>
      </c>
      <c r="B676" s="1">
        <f t="shared" si="32"/>
        <v>4399.9241698871483</v>
      </c>
      <c r="C676">
        <f t="shared" si="33"/>
        <v>3.5342465753424658E-4</v>
      </c>
      <c r="D676" s="1">
        <f>B676*Table1[[#This Row],[Дневная ставка]]</f>
        <v>1.5550416929190196</v>
      </c>
      <c r="E676">
        <v>0</v>
      </c>
      <c r="F676" s="1">
        <f t="shared" si="31"/>
        <v>4401.4792115800674</v>
      </c>
    </row>
    <row r="677" spans="1:6" x14ac:dyDescent="0.3">
      <c r="A677" s="3">
        <v>46730</v>
      </c>
      <c r="B677" s="1">
        <f t="shared" si="32"/>
        <v>4401.4792115800674</v>
      </c>
      <c r="C677">
        <f t="shared" si="33"/>
        <v>3.5342465753424658E-4</v>
      </c>
      <c r="D677" s="1">
        <f>B677*Table1[[#This Row],[Дневная ставка]]</f>
        <v>1.5555912829967911</v>
      </c>
      <c r="E677">
        <v>0</v>
      </c>
      <c r="F677" s="1">
        <f t="shared" si="31"/>
        <v>4403.0348028630642</v>
      </c>
    </row>
    <row r="678" spans="1:6" x14ac:dyDescent="0.3">
      <c r="A678" s="3">
        <v>46731</v>
      </c>
      <c r="B678" s="1">
        <f t="shared" si="32"/>
        <v>4403.0348028630642</v>
      </c>
      <c r="C678">
        <f t="shared" si="33"/>
        <v>3.5342465753424658E-4</v>
      </c>
      <c r="D678" s="1">
        <f>B678*Table1[[#This Row],[Дневная ставка]]</f>
        <v>1.5561410673132474</v>
      </c>
      <c r="E678">
        <v>0</v>
      </c>
      <c r="F678" s="1">
        <f t="shared" si="31"/>
        <v>4404.5909439303778</v>
      </c>
    </row>
    <row r="679" spans="1:6" x14ac:dyDescent="0.3">
      <c r="A679" s="3">
        <v>46732</v>
      </c>
      <c r="B679" s="1">
        <f t="shared" si="32"/>
        <v>4404.5909439303778</v>
      </c>
      <c r="C679">
        <f t="shared" si="33"/>
        <v>3.5342465753424658E-4</v>
      </c>
      <c r="D679" s="1">
        <f>B679*Table1[[#This Row],[Дневная ставка]]</f>
        <v>1.5566910459370376</v>
      </c>
      <c r="E679">
        <v>0</v>
      </c>
      <c r="F679" s="1">
        <f t="shared" si="31"/>
        <v>4406.1476349763152</v>
      </c>
    </row>
    <row r="680" spans="1:6" x14ac:dyDescent="0.3">
      <c r="A680" s="3">
        <v>46733</v>
      </c>
      <c r="B680" s="1">
        <f t="shared" si="32"/>
        <v>4406.1476349763152</v>
      </c>
      <c r="C680">
        <f t="shared" si="33"/>
        <v>3.5342465753424658E-4</v>
      </c>
      <c r="D680" s="1">
        <f>B680*Table1[[#This Row],[Дневная ставка]]</f>
        <v>1.5572412189368348</v>
      </c>
      <c r="E680">
        <v>0</v>
      </c>
      <c r="F680" s="1">
        <f t="shared" si="31"/>
        <v>4407.7048761952519</v>
      </c>
    </row>
    <row r="681" spans="1:6" x14ac:dyDescent="0.3">
      <c r="A681" s="3">
        <v>46734</v>
      </c>
      <c r="B681" s="1">
        <f t="shared" si="32"/>
        <v>4407.7048761952519</v>
      </c>
      <c r="C681">
        <f t="shared" si="33"/>
        <v>3.5342465753424658E-4</v>
      </c>
      <c r="D681" s="1">
        <f>B681*Table1[[#This Row],[Дневная ставка]]</f>
        <v>1.5577915863813356</v>
      </c>
      <c r="E681">
        <v>0</v>
      </c>
      <c r="F681" s="1">
        <f t="shared" si="31"/>
        <v>4409.2626677816334</v>
      </c>
    </row>
    <row r="682" spans="1:6" x14ac:dyDescent="0.3">
      <c r="A682" s="3">
        <v>46735</v>
      </c>
      <c r="B682" s="1">
        <f t="shared" si="32"/>
        <v>4409.2626677816334</v>
      </c>
      <c r="C682">
        <f t="shared" si="33"/>
        <v>3.5342465753424658E-4</v>
      </c>
      <c r="D682" s="1">
        <f>B682*Table1[[#This Row],[Дневная ставка]]</f>
        <v>1.5583421483392623</v>
      </c>
      <c r="E682">
        <v>0</v>
      </c>
      <c r="F682" s="1">
        <f t="shared" si="31"/>
        <v>4410.8210099299722</v>
      </c>
    </row>
    <row r="683" spans="1:6" x14ac:dyDescent="0.3">
      <c r="A683" s="3">
        <v>46736</v>
      </c>
      <c r="B683" s="1">
        <f t="shared" si="32"/>
        <v>4410.8210099299722</v>
      </c>
      <c r="C683">
        <f t="shared" si="33"/>
        <v>3.5342465753424658E-4</v>
      </c>
      <c r="D683" s="1">
        <f>B683*Table1[[#This Row],[Дневная ставка]]</f>
        <v>1.5588929048793601</v>
      </c>
      <c r="E683">
        <v>0</v>
      </c>
      <c r="F683" s="1">
        <f t="shared" si="31"/>
        <v>4412.3799028348512</v>
      </c>
    </row>
    <row r="684" spans="1:6" x14ac:dyDescent="0.3">
      <c r="A684" s="3">
        <v>46737</v>
      </c>
      <c r="B684" s="1">
        <f t="shared" si="32"/>
        <v>4412.3799028348512</v>
      </c>
      <c r="C684">
        <f t="shared" si="33"/>
        <v>3.5342465753424658E-4</v>
      </c>
      <c r="D684" s="1">
        <f>B684*Table1[[#This Row],[Дневная ставка]]</f>
        <v>1.5594438560703996</v>
      </c>
      <c r="E684">
        <v>0</v>
      </c>
      <c r="F684" s="1">
        <f t="shared" si="31"/>
        <v>4413.9393466909214</v>
      </c>
    </row>
    <row r="685" spans="1:6" x14ac:dyDescent="0.3">
      <c r="A685" s="3">
        <v>46738</v>
      </c>
      <c r="B685" s="1">
        <f t="shared" si="32"/>
        <v>4413.9393466909214</v>
      </c>
      <c r="C685">
        <f t="shared" si="33"/>
        <v>3.5342465753424658E-4</v>
      </c>
      <c r="D685" s="1">
        <f>B685*Table1[[#This Row],[Дневная ставка]]</f>
        <v>1.559995001981175</v>
      </c>
      <c r="E685">
        <v>0</v>
      </c>
      <c r="F685" s="1">
        <f t="shared" si="31"/>
        <v>4415.4993416929028</v>
      </c>
    </row>
    <row r="686" spans="1:6" x14ac:dyDescent="0.3">
      <c r="A686" s="3">
        <v>46739</v>
      </c>
      <c r="B686" s="1">
        <f t="shared" si="32"/>
        <v>4415.4993416929028</v>
      </c>
      <c r="C686">
        <f t="shared" si="33"/>
        <v>3.5342465753424658E-4</v>
      </c>
      <c r="D686" s="1">
        <f>B686*Table1[[#This Row],[Дневная ставка]]</f>
        <v>1.5605463426805055</v>
      </c>
      <c r="E686">
        <v>0</v>
      </c>
      <c r="F686" s="1">
        <f t="shared" si="31"/>
        <v>4417.0598880355838</v>
      </c>
    </row>
    <row r="687" spans="1:6" x14ac:dyDescent="0.3">
      <c r="A687" s="3">
        <v>46740</v>
      </c>
      <c r="B687" s="1">
        <f t="shared" si="32"/>
        <v>4417.0598880355838</v>
      </c>
      <c r="C687">
        <f t="shared" si="33"/>
        <v>3.5342465753424658E-4</v>
      </c>
      <c r="D687" s="1">
        <f>B687*Table1[[#This Row],[Дневная ставка]]</f>
        <v>1.5610978782372338</v>
      </c>
      <c r="E687">
        <v>650.05999999999995</v>
      </c>
      <c r="F687" s="1">
        <f t="shared" si="31"/>
        <v>3768.5609859138208</v>
      </c>
    </row>
    <row r="688" spans="1:6" x14ac:dyDescent="0.3">
      <c r="A688" s="3">
        <v>46741</v>
      </c>
      <c r="B688" s="1">
        <f t="shared" si="32"/>
        <v>3768.5609859138208</v>
      </c>
      <c r="C688">
        <f t="shared" si="33"/>
        <v>3.5342465753424658E-4</v>
      </c>
      <c r="D688" s="1">
        <f>B688*Table1[[#This Row],[Дневная ставка]]</f>
        <v>1.3319023758435147</v>
      </c>
      <c r="E688">
        <v>0</v>
      </c>
      <c r="F688" s="1">
        <f t="shared" si="31"/>
        <v>3769.8928882896644</v>
      </c>
    </row>
    <row r="689" spans="1:6" x14ac:dyDescent="0.3">
      <c r="A689" s="3">
        <v>46742</v>
      </c>
      <c r="B689" s="1">
        <f t="shared" si="32"/>
        <v>3769.8928882896644</v>
      </c>
      <c r="C689">
        <f t="shared" si="33"/>
        <v>3.5342465753424658E-4</v>
      </c>
      <c r="D689" s="1">
        <f>B689*Table1[[#This Row],[Дневная ставка]]</f>
        <v>1.3323731029845662</v>
      </c>
      <c r="E689">
        <v>0</v>
      </c>
      <c r="F689" s="1">
        <f t="shared" si="31"/>
        <v>3771.2252613926489</v>
      </c>
    </row>
    <row r="690" spans="1:6" x14ac:dyDescent="0.3">
      <c r="A690" s="3">
        <v>46743</v>
      </c>
      <c r="B690" s="1">
        <f t="shared" si="32"/>
        <v>3771.2252613926489</v>
      </c>
      <c r="C690">
        <f t="shared" si="33"/>
        <v>3.5342465753424658E-4</v>
      </c>
      <c r="D690" s="1">
        <f>B690*Table1[[#This Row],[Дневная ставка]]</f>
        <v>1.3328439964921965</v>
      </c>
      <c r="E690">
        <v>0</v>
      </c>
      <c r="F690" s="1">
        <f t="shared" si="31"/>
        <v>3772.558105389141</v>
      </c>
    </row>
    <row r="691" spans="1:6" x14ac:dyDescent="0.3">
      <c r="A691" s="3">
        <v>46744</v>
      </c>
      <c r="B691" s="1">
        <f t="shared" si="32"/>
        <v>3772.558105389141</v>
      </c>
      <c r="C691">
        <f t="shared" si="33"/>
        <v>3.5342465753424658E-4</v>
      </c>
      <c r="D691" s="1">
        <f>B691*Table1[[#This Row],[Дневная ставка]]</f>
        <v>1.3333150564252032</v>
      </c>
      <c r="E691">
        <v>0</v>
      </c>
      <c r="F691" s="1">
        <f t="shared" si="31"/>
        <v>3773.8914204455664</v>
      </c>
    </row>
    <row r="692" spans="1:6" x14ac:dyDescent="0.3">
      <c r="A692" s="3">
        <v>46745</v>
      </c>
      <c r="B692" s="1">
        <f t="shared" si="32"/>
        <v>3773.8914204455664</v>
      </c>
      <c r="C692">
        <f t="shared" si="33"/>
        <v>3.5342465753424658E-4</v>
      </c>
      <c r="D692" s="1">
        <f>B692*Table1[[#This Row],[Дневная ставка]]</f>
        <v>1.3337862828424056</v>
      </c>
      <c r="E692">
        <v>0</v>
      </c>
      <c r="F692" s="1">
        <f t="shared" si="31"/>
        <v>3775.2252067284089</v>
      </c>
    </row>
    <row r="693" spans="1:6" x14ac:dyDescent="0.3">
      <c r="A693" s="3">
        <v>46746</v>
      </c>
      <c r="B693" s="1">
        <f t="shared" si="32"/>
        <v>3775.2252067284089</v>
      </c>
      <c r="C693">
        <f t="shared" si="33"/>
        <v>3.5342465753424658E-4</v>
      </c>
      <c r="D693" s="1">
        <f>B693*Table1[[#This Row],[Дневная ставка]]</f>
        <v>1.3342576758026432</v>
      </c>
      <c r="E693">
        <v>0</v>
      </c>
      <c r="F693" s="1">
        <f t="shared" si="31"/>
        <v>3776.5594644042117</v>
      </c>
    </row>
    <row r="694" spans="1:6" x14ac:dyDescent="0.3">
      <c r="A694" s="3">
        <v>46747</v>
      </c>
      <c r="B694" s="1">
        <f t="shared" si="32"/>
        <v>3776.5594644042117</v>
      </c>
      <c r="C694">
        <f t="shared" si="33"/>
        <v>3.5342465753424658E-4</v>
      </c>
      <c r="D694" s="1">
        <f>B694*Table1[[#This Row],[Дневная ставка]]</f>
        <v>1.3347292353647762</v>
      </c>
      <c r="E694">
        <v>0</v>
      </c>
      <c r="F694" s="1">
        <f t="shared" si="31"/>
        <v>3777.8941936395763</v>
      </c>
    </row>
    <row r="695" spans="1:6" x14ac:dyDescent="0.3">
      <c r="A695" s="3">
        <v>46748</v>
      </c>
      <c r="B695" s="1">
        <f t="shared" si="32"/>
        <v>3777.8941936395763</v>
      </c>
      <c r="C695">
        <f t="shared" si="33"/>
        <v>3.5342465753424658E-4</v>
      </c>
      <c r="D695" s="1">
        <f>B695*Table1[[#This Row],[Дневная ставка]]</f>
        <v>1.3352009615876859</v>
      </c>
      <c r="E695">
        <v>0</v>
      </c>
      <c r="F695" s="1">
        <f t="shared" si="31"/>
        <v>3779.2293946011641</v>
      </c>
    </row>
    <row r="696" spans="1:6" x14ac:dyDescent="0.3">
      <c r="A696" s="3">
        <v>46749</v>
      </c>
      <c r="B696" s="1">
        <f t="shared" si="32"/>
        <v>3779.2293946011641</v>
      </c>
      <c r="C696">
        <f t="shared" si="33"/>
        <v>3.5342465753424658E-4</v>
      </c>
      <c r="D696" s="1">
        <f>B696*Table1[[#This Row],[Дневная ставка]]</f>
        <v>1.3356728545302745</v>
      </c>
      <c r="E696">
        <v>0</v>
      </c>
      <c r="F696" s="1">
        <f t="shared" si="31"/>
        <v>3780.5650674556946</v>
      </c>
    </row>
    <row r="697" spans="1:6" x14ac:dyDescent="0.3">
      <c r="A697" s="3">
        <v>46750</v>
      </c>
      <c r="B697" s="1">
        <f t="shared" si="32"/>
        <v>3780.5650674556946</v>
      </c>
      <c r="C697">
        <f t="shared" si="33"/>
        <v>3.5342465753424658E-4</v>
      </c>
      <c r="D697" s="1">
        <f>B697*Table1[[#This Row],[Дневная ставка]]</f>
        <v>1.3361449142514648</v>
      </c>
      <c r="E697">
        <v>0</v>
      </c>
      <c r="F697" s="1">
        <f t="shared" si="31"/>
        <v>3781.9012123699463</v>
      </c>
    </row>
    <row r="698" spans="1:6" x14ac:dyDescent="0.3">
      <c r="A698" s="3">
        <v>46751</v>
      </c>
      <c r="B698" s="1">
        <f t="shared" si="32"/>
        <v>3781.9012123699463</v>
      </c>
      <c r="C698">
        <f t="shared" si="33"/>
        <v>3.5342465753424658E-4</v>
      </c>
      <c r="D698" s="1">
        <f>B698*Table1[[#This Row],[Дневная ставка]]</f>
        <v>1.3366171408102003</v>
      </c>
      <c r="E698">
        <v>0</v>
      </c>
      <c r="F698" s="1">
        <f t="shared" si="31"/>
        <v>3783.2378295107565</v>
      </c>
    </row>
    <row r="699" spans="1:6" x14ac:dyDescent="0.3">
      <c r="A699" s="3">
        <v>46752</v>
      </c>
      <c r="B699" s="1">
        <f t="shared" si="32"/>
        <v>3783.2378295107565</v>
      </c>
      <c r="C699">
        <f t="shared" si="33"/>
        <v>3.5342465753424658E-4</v>
      </c>
      <c r="D699" s="1">
        <f>B699*Table1[[#This Row],[Дневная ставка]]</f>
        <v>1.3370895342654454</v>
      </c>
      <c r="E699">
        <v>0</v>
      </c>
      <c r="F699" s="1">
        <f t="shared" si="31"/>
        <v>3784.5749190450219</v>
      </c>
    </row>
    <row r="700" spans="1:6" x14ac:dyDescent="0.3">
      <c r="A700" s="3">
        <v>46753</v>
      </c>
      <c r="B700" s="1">
        <f t="shared" si="32"/>
        <v>3784.5749190450219</v>
      </c>
      <c r="C700">
        <f t="shared" si="33"/>
        <v>3.5342465753424658E-4</v>
      </c>
      <c r="D700" s="1">
        <f>B700*Table1[[#This Row],[Дневная ставка]]</f>
        <v>1.3375620946761859</v>
      </c>
      <c r="E700">
        <v>0</v>
      </c>
      <c r="F700" s="1">
        <f t="shared" si="31"/>
        <v>3785.9124811396982</v>
      </c>
    </row>
    <row r="701" spans="1:6" x14ac:dyDescent="0.3">
      <c r="A701" s="3">
        <v>46754</v>
      </c>
      <c r="B701" s="1">
        <f t="shared" si="32"/>
        <v>3785.9124811396982</v>
      </c>
      <c r="C701">
        <f t="shared" si="33"/>
        <v>3.5342465753424658E-4</v>
      </c>
      <c r="D701" s="1">
        <f>B701*Table1[[#This Row],[Дневная ставка]]</f>
        <v>1.3380348221014275</v>
      </c>
      <c r="E701">
        <v>0</v>
      </c>
      <c r="F701" s="1">
        <f t="shared" si="31"/>
        <v>3787.2505159617995</v>
      </c>
    </row>
    <row r="702" spans="1:6" x14ac:dyDescent="0.3">
      <c r="A702" s="3">
        <v>46755</v>
      </c>
      <c r="B702" s="1">
        <f t="shared" si="32"/>
        <v>3787.2505159617995</v>
      </c>
      <c r="C702">
        <f t="shared" si="33"/>
        <v>3.5342465753424658E-4</v>
      </c>
      <c r="D702" s="1">
        <f>B702*Table1[[#This Row],[Дневная ставка]]</f>
        <v>1.3385077166001977</v>
      </c>
      <c r="E702">
        <v>0</v>
      </c>
      <c r="F702" s="1">
        <f t="shared" si="31"/>
        <v>3788.5890236783998</v>
      </c>
    </row>
    <row r="703" spans="1:6" x14ac:dyDescent="0.3">
      <c r="A703" s="3">
        <v>46756</v>
      </c>
      <c r="B703" s="1">
        <f t="shared" si="32"/>
        <v>3788.5890236783998</v>
      </c>
      <c r="C703">
        <f t="shared" si="33"/>
        <v>3.5342465753424658E-4</v>
      </c>
      <c r="D703" s="1">
        <f>B703*Table1[[#This Row],[Дневная ставка]]</f>
        <v>1.3389807782315442</v>
      </c>
      <c r="E703">
        <v>0</v>
      </c>
      <c r="F703" s="1">
        <f t="shared" si="31"/>
        <v>3789.9280044566312</v>
      </c>
    </row>
    <row r="704" spans="1:6" x14ac:dyDescent="0.3">
      <c r="A704" s="3">
        <v>46757</v>
      </c>
      <c r="B704" s="1">
        <f t="shared" si="32"/>
        <v>3789.9280044566312</v>
      </c>
      <c r="C704">
        <f t="shared" si="33"/>
        <v>3.5342465753424658E-4</v>
      </c>
      <c r="D704" s="1">
        <f>B704*Table1[[#This Row],[Дневная ставка]]</f>
        <v>1.3394540070545355</v>
      </c>
      <c r="E704">
        <v>0</v>
      </c>
      <c r="F704" s="1">
        <f t="shared" si="31"/>
        <v>3791.2674584636857</v>
      </c>
    </row>
    <row r="705" spans="1:6" x14ac:dyDescent="0.3">
      <c r="A705" s="3">
        <v>46758</v>
      </c>
      <c r="B705" s="1">
        <f t="shared" si="32"/>
        <v>3791.2674584636857</v>
      </c>
      <c r="C705">
        <f t="shared" si="33"/>
        <v>3.5342465753424658E-4</v>
      </c>
      <c r="D705" s="1">
        <f>B705*Table1[[#This Row],[Дневная ставка]]</f>
        <v>1.3399274031282615</v>
      </c>
      <c r="E705">
        <v>0</v>
      </c>
      <c r="F705" s="1">
        <f t="shared" si="31"/>
        <v>3792.6073858668137</v>
      </c>
    </row>
    <row r="706" spans="1:6" x14ac:dyDescent="0.3">
      <c r="A706" s="3">
        <v>46759</v>
      </c>
      <c r="B706" s="1">
        <f t="shared" si="32"/>
        <v>3792.6073858668137</v>
      </c>
      <c r="C706">
        <f t="shared" si="33"/>
        <v>3.5342465753424658E-4</v>
      </c>
      <c r="D706" s="1">
        <f>B706*Table1[[#This Row],[Дневная ставка]]</f>
        <v>1.3404009665118328</v>
      </c>
      <c r="E706">
        <v>0</v>
      </c>
      <c r="F706" s="1">
        <f t="shared" si="31"/>
        <v>3793.9477868333256</v>
      </c>
    </row>
    <row r="707" spans="1:6" x14ac:dyDescent="0.3">
      <c r="A707" s="3">
        <v>46760</v>
      </c>
      <c r="B707" s="1">
        <f t="shared" si="32"/>
        <v>3793.9477868333256</v>
      </c>
      <c r="C707">
        <f t="shared" si="33"/>
        <v>3.5342465753424658E-4</v>
      </c>
      <c r="D707" s="1">
        <f>B707*Table1[[#This Row],[Дневная ставка]]</f>
        <v>1.3408746972643808</v>
      </c>
      <c r="E707">
        <v>0</v>
      </c>
      <c r="F707" s="1">
        <f t="shared" ref="F707:F770" si="34">B707+D707-E707</f>
        <v>3795.2886615305902</v>
      </c>
    </row>
    <row r="708" spans="1:6" x14ac:dyDescent="0.3">
      <c r="A708" s="3">
        <v>46761</v>
      </c>
      <c r="B708" s="1">
        <f t="shared" ref="B708:B771" si="35">F707</f>
        <v>3795.2886615305902</v>
      </c>
      <c r="C708">
        <f t="shared" si="33"/>
        <v>3.5342465753424658E-4</v>
      </c>
      <c r="D708" s="1">
        <f>B708*Table1[[#This Row],[Дневная ставка]]</f>
        <v>1.3413485954450579</v>
      </c>
      <c r="E708">
        <v>0</v>
      </c>
      <c r="F708" s="1">
        <f t="shared" si="34"/>
        <v>3796.6300101260354</v>
      </c>
    </row>
    <row r="709" spans="1:6" x14ac:dyDescent="0.3">
      <c r="A709" s="3">
        <v>46762</v>
      </c>
      <c r="B709" s="1">
        <f t="shared" si="35"/>
        <v>3796.6300101260354</v>
      </c>
      <c r="C709">
        <f t="shared" si="33"/>
        <v>3.5342465753424658E-4</v>
      </c>
      <c r="D709" s="1">
        <f>B709*Table1[[#This Row],[Дневная ставка]]</f>
        <v>1.3418226611130373</v>
      </c>
      <c r="E709">
        <v>0</v>
      </c>
      <c r="F709" s="1">
        <f t="shared" si="34"/>
        <v>3797.9718327871483</v>
      </c>
    </row>
    <row r="710" spans="1:6" x14ac:dyDescent="0.3">
      <c r="A710" s="3">
        <v>46763</v>
      </c>
      <c r="B710" s="1">
        <f t="shared" si="35"/>
        <v>3797.9718327871483</v>
      </c>
      <c r="C710">
        <f t="shared" si="33"/>
        <v>3.5342465753424658E-4</v>
      </c>
      <c r="D710" s="1">
        <f>B710*Table1[[#This Row],[Дневная ставка]]</f>
        <v>1.3422968943275126</v>
      </c>
      <c r="E710">
        <v>0</v>
      </c>
      <c r="F710" s="1">
        <f t="shared" si="34"/>
        <v>3799.3141296814756</v>
      </c>
    </row>
    <row r="711" spans="1:6" x14ac:dyDescent="0.3">
      <c r="A711" s="3">
        <v>46764</v>
      </c>
      <c r="B711" s="1">
        <f t="shared" si="35"/>
        <v>3799.3141296814756</v>
      </c>
      <c r="C711">
        <f t="shared" si="33"/>
        <v>3.5342465753424658E-4</v>
      </c>
      <c r="D711" s="1">
        <f>B711*Table1[[#This Row],[Дневная ставка]]</f>
        <v>1.3427712951476996</v>
      </c>
      <c r="E711">
        <v>0</v>
      </c>
      <c r="F711" s="1">
        <f t="shared" si="34"/>
        <v>3800.6569009766231</v>
      </c>
    </row>
    <row r="712" spans="1:6" x14ac:dyDescent="0.3">
      <c r="A712" s="3">
        <v>46765</v>
      </c>
      <c r="B712" s="1">
        <f t="shared" si="35"/>
        <v>3800.6569009766231</v>
      </c>
      <c r="C712">
        <f t="shared" si="33"/>
        <v>3.5342465753424658E-4</v>
      </c>
      <c r="D712" s="1">
        <f>B712*Table1[[#This Row],[Дневная ставка]]</f>
        <v>1.3432458636328339</v>
      </c>
      <c r="E712">
        <v>0</v>
      </c>
      <c r="F712" s="1">
        <f t="shared" si="34"/>
        <v>3802.0001468402561</v>
      </c>
    </row>
    <row r="713" spans="1:6" x14ac:dyDescent="0.3">
      <c r="A713" s="3">
        <v>46766</v>
      </c>
      <c r="B713" s="1">
        <f t="shared" si="35"/>
        <v>3802.0001468402561</v>
      </c>
      <c r="C713">
        <f t="shared" si="33"/>
        <v>3.5342465753424658E-4</v>
      </c>
      <c r="D713" s="1">
        <f>B713*Table1[[#This Row],[Дневная ставка]]</f>
        <v>1.3437205998421726</v>
      </c>
      <c r="E713">
        <v>0</v>
      </c>
      <c r="F713" s="1">
        <f t="shared" si="34"/>
        <v>3803.3438674400982</v>
      </c>
    </row>
    <row r="714" spans="1:6" x14ac:dyDescent="0.3">
      <c r="A714" s="3">
        <v>46767</v>
      </c>
      <c r="B714" s="1">
        <f t="shared" si="35"/>
        <v>3803.3438674400982</v>
      </c>
      <c r="C714">
        <f t="shared" si="33"/>
        <v>3.5342465753424658E-4</v>
      </c>
      <c r="D714" s="1">
        <f>B714*Table1[[#This Row],[Дневная ставка]]</f>
        <v>1.3441955038349935</v>
      </c>
      <c r="E714">
        <v>0</v>
      </c>
      <c r="F714" s="1">
        <f t="shared" si="34"/>
        <v>3804.6880629439333</v>
      </c>
    </row>
    <row r="715" spans="1:6" x14ac:dyDescent="0.3">
      <c r="A715" s="3">
        <v>46768</v>
      </c>
      <c r="B715" s="1">
        <f t="shared" si="35"/>
        <v>3804.6880629439333</v>
      </c>
      <c r="C715">
        <f t="shared" si="33"/>
        <v>3.5342465753424658E-4</v>
      </c>
      <c r="D715" s="1">
        <f>B715*Table1[[#This Row],[Дневная ставка]]</f>
        <v>1.3446705756705957</v>
      </c>
      <c r="E715">
        <v>0</v>
      </c>
      <c r="F715" s="1">
        <f t="shared" si="34"/>
        <v>3806.0327335196039</v>
      </c>
    </row>
    <row r="716" spans="1:6" x14ac:dyDescent="0.3">
      <c r="A716" s="3">
        <v>46769</v>
      </c>
      <c r="B716" s="1">
        <f t="shared" si="35"/>
        <v>3806.0327335196039</v>
      </c>
      <c r="C716">
        <f t="shared" si="33"/>
        <v>3.5342465753424658E-4</v>
      </c>
      <c r="D716" s="1">
        <f>B716*Table1[[#This Row],[Дневная ставка]]</f>
        <v>1.3451458154082985</v>
      </c>
      <c r="E716">
        <v>0</v>
      </c>
      <c r="F716" s="1">
        <f t="shared" si="34"/>
        <v>3807.377879335012</v>
      </c>
    </row>
    <row r="717" spans="1:6" x14ac:dyDescent="0.3">
      <c r="A717" s="3">
        <v>46770</v>
      </c>
      <c r="B717" s="1">
        <f t="shared" si="35"/>
        <v>3807.377879335012</v>
      </c>
      <c r="C717">
        <f t="shared" si="33"/>
        <v>3.5342465753424658E-4</v>
      </c>
      <c r="D717" s="1">
        <f>B717*Table1[[#This Row],[Дневная ставка]]</f>
        <v>1.3456212231074427</v>
      </c>
      <c r="E717">
        <v>0</v>
      </c>
      <c r="F717" s="1">
        <f t="shared" si="34"/>
        <v>3808.7235005581197</v>
      </c>
    </row>
    <row r="718" spans="1:6" x14ac:dyDescent="0.3">
      <c r="A718" s="3">
        <v>46771</v>
      </c>
      <c r="B718" s="1">
        <f t="shared" si="35"/>
        <v>3808.7235005581197</v>
      </c>
      <c r="C718">
        <f t="shared" si="33"/>
        <v>3.5342465753424658E-4</v>
      </c>
      <c r="D718" s="1">
        <f>B718*Table1[[#This Row],[Дневная ставка]]</f>
        <v>1.3460967988273902</v>
      </c>
      <c r="E718">
        <v>650.05999999999995</v>
      </c>
      <c r="F718" s="1">
        <f t="shared" si="34"/>
        <v>3160.0095973569473</v>
      </c>
    </row>
    <row r="719" spans="1:6" x14ac:dyDescent="0.3">
      <c r="A719" s="3">
        <v>46772</v>
      </c>
      <c r="B719" s="1">
        <f t="shared" si="35"/>
        <v>3160.0095973569473</v>
      </c>
      <c r="C719">
        <f t="shared" si="33"/>
        <v>3.5342465753424658E-4</v>
      </c>
      <c r="D719" s="1">
        <f>B719*Table1[[#This Row],[Дневная ставка]]</f>
        <v>1.1168253097508116</v>
      </c>
      <c r="E719">
        <v>0</v>
      </c>
      <c r="F719" s="1">
        <f t="shared" si="34"/>
        <v>3161.1264226666981</v>
      </c>
    </row>
    <row r="720" spans="1:6" x14ac:dyDescent="0.3">
      <c r="A720" s="3">
        <v>46773</v>
      </c>
      <c r="B720" s="1">
        <f t="shared" si="35"/>
        <v>3161.1264226666981</v>
      </c>
      <c r="C720">
        <f t="shared" si="33"/>
        <v>3.5342465753424658E-4</v>
      </c>
      <c r="D720" s="1">
        <f>B720*Table1[[#This Row],[Дневная ставка]]</f>
        <v>1.1172200233534357</v>
      </c>
      <c r="E720">
        <v>0</v>
      </c>
      <c r="F720" s="1">
        <f t="shared" si="34"/>
        <v>3162.2436426900517</v>
      </c>
    </row>
    <row r="721" spans="1:6" x14ac:dyDescent="0.3">
      <c r="A721" s="3">
        <v>46774</v>
      </c>
      <c r="B721" s="1">
        <f t="shared" si="35"/>
        <v>3162.2436426900517</v>
      </c>
      <c r="C721">
        <f t="shared" si="33"/>
        <v>3.5342465753424658E-4</v>
      </c>
      <c r="D721" s="1">
        <f>B721*Table1[[#This Row],[Дневная ставка]]</f>
        <v>1.11761487645758</v>
      </c>
      <c r="E721">
        <v>0</v>
      </c>
      <c r="F721" s="1">
        <f t="shared" si="34"/>
        <v>3163.3612575665093</v>
      </c>
    </row>
    <row r="722" spans="1:6" x14ac:dyDescent="0.3">
      <c r="A722" s="3">
        <v>46775</v>
      </c>
      <c r="B722" s="1">
        <f t="shared" si="35"/>
        <v>3163.3612575665093</v>
      </c>
      <c r="C722">
        <f t="shared" si="33"/>
        <v>3.5342465753424658E-4</v>
      </c>
      <c r="D722" s="1">
        <f>B722*Table1[[#This Row],[Дневная ставка]]</f>
        <v>1.1180098691125471</v>
      </c>
      <c r="E722">
        <v>0</v>
      </c>
      <c r="F722" s="1">
        <f t="shared" si="34"/>
        <v>3164.4792674356218</v>
      </c>
    </row>
    <row r="723" spans="1:6" x14ac:dyDescent="0.3">
      <c r="A723" s="3">
        <v>46776</v>
      </c>
      <c r="B723" s="1">
        <f t="shared" si="35"/>
        <v>3164.4792674356218</v>
      </c>
      <c r="C723">
        <f t="shared" si="33"/>
        <v>3.5342465753424658E-4</v>
      </c>
      <c r="D723" s="1">
        <f>B723*Table1[[#This Row],[Дневная ставка]]</f>
        <v>1.1184050013676581</v>
      </c>
      <c r="E723">
        <v>0</v>
      </c>
      <c r="F723" s="1">
        <f t="shared" si="34"/>
        <v>3165.5976724369893</v>
      </c>
    </row>
    <row r="724" spans="1:6" x14ac:dyDescent="0.3">
      <c r="A724" s="3">
        <v>46777</v>
      </c>
      <c r="B724" s="1">
        <f t="shared" si="35"/>
        <v>3165.5976724369893</v>
      </c>
      <c r="C724">
        <f t="shared" ref="C724:C787" si="36">(12.9%/365)</f>
        <v>3.5342465753424658E-4</v>
      </c>
      <c r="D724" s="1">
        <f>B724*Table1[[#This Row],[Дневная ставка]]</f>
        <v>1.1188002732722511</v>
      </c>
      <c r="E724">
        <v>0</v>
      </c>
      <c r="F724" s="1">
        <f t="shared" si="34"/>
        <v>3166.7164727102618</v>
      </c>
    </row>
    <row r="725" spans="1:6" x14ac:dyDescent="0.3">
      <c r="A725" s="3">
        <v>46778</v>
      </c>
      <c r="B725" s="1">
        <f t="shared" si="35"/>
        <v>3166.7164727102618</v>
      </c>
      <c r="C725">
        <f t="shared" si="36"/>
        <v>3.5342465753424658E-4</v>
      </c>
      <c r="D725" s="1">
        <f>B725*Table1[[#This Row],[Дневная ставка]]</f>
        <v>1.1191956848756817</v>
      </c>
      <c r="E725">
        <v>0</v>
      </c>
      <c r="F725" s="1">
        <f t="shared" si="34"/>
        <v>3167.8356683951374</v>
      </c>
    </row>
    <row r="726" spans="1:6" x14ac:dyDescent="0.3">
      <c r="A726" s="3">
        <v>46779</v>
      </c>
      <c r="B726" s="1">
        <f t="shared" si="35"/>
        <v>3167.8356683951374</v>
      </c>
      <c r="C726">
        <f t="shared" si="36"/>
        <v>3.5342465753424658E-4</v>
      </c>
      <c r="D726" s="1">
        <f>B726*Table1[[#This Row],[Дневная ставка]]</f>
        <v>1.1195912362273226</v>
      </c>
      <c r="E726">
        <v>0</v>
      </c>
      <c r="F726" s="1">
        <f t="shared" si="34"/>
        <v>3168.9552596313647</v>
      </c>
    </row>
    <row r="727" spans="1:6" x14ac:dyDescent="0.3">
      <c r="A727" s="3">
        <v>46780</v>
      </c>
      <c r="B727" s="1">
        <f t="shared" si="35"/>
        <v>3168.9552596313647</v>
      </c>
      <c r="C727">
        <f t="shared" si="36"/>
        <v>3.5342465753424658E-4</v>
      </c>
      <c r="D727" s="1">
        <f>B727*Table1[[#This Row],[Дневная ставка]]</f>
        <v>1.1199869273765646</v>
      </c>
      <c r="E727">
        <v>0</v>
      </c>
      <c r="F727" s="1">
        <f t="shared" si="34"/>
        <v>3170.0752465587411</v>
      </c>
    </row>
    <row r="728" spans="1:6" x14ac:dyDescent="0.3">
      <c r="A728" s="3">
        <v>46781</v>
      </c>
      <c r="B728" s="1">
        <f t="shared" si="35"/>
        <v>3170.0752465587411</v>
      </c>
      <c r="C728">
        <f t="shared" si="36"/>
        <v>3.5342465753424658E-4</v>
      </c>
      <c r="D728" s="1">
        <f>B728*Table1[[#This Row],[Дневная ставка]]</f>
        <v>1.1203827583728154</v>
      </c>
      <c r="E728">
        <v>0</v>
      </c>
      <c r="F728" s="1">
        <f t="shared" si="34"/>
        <v>3171.1956293171138</v>
      </c>
    </row>
    <row r="729" spans="1:6" x14ac:dyDescent="0.3">
      <c r="A729" s="3">
        <v>46782</v>
      </c>
      <c r="B729" s="1">
        <f t="shared" si="35"/>
        <v>3171.1956293171138</v>
      </c>
      <c r="C729">
        <f t="shared" si="36"/>
        <v>3.5342465753424658E-4</v>
      </c>
      <c r="D729" s="1">
        <f>B729*Table1[[#This Row],[Дневная ставка]]</f>
        <v>1.1207787292655005</v>
      </c>
      <c r="E729">
        <v>0</v>
      </c>
      <c r="F729" s="1">
        <f t="shared" si="34"/>
        <v>3172.3164080463794</v>
      </c>
    </row>
    <row r="730" spans="1:6" x14ac:dyDescent="0.3">
      <c r="A730" s="3">
        <v>46783</v>
      </c>
      <c r="B730" s="1">
        <f t="shared" si="35"/>
        <v>3172.3164080463794</v>
      </c>
      <c r="C730">
        <f t="shared" si="36"/>
        <v>3.5342465753424658E-4</v>
      </c>
      <c r="D730" s="1">
        <f>B730*Table1[[#This Row],[Дневная ставка]]</f>
        <v>1.1211748401040629</v>
      </c>
      <c r="E730">
        <v>0</v>
      </c>
      <c r="F730" s="1">
        <f t="shared" si="34"/>
        <v>3173.4375828864836</v>
      </c>
    </row>
    <row r="731" spans="1:6" x14ac:dyDescent="0.3">
      <c r="A731" s="3">
        <v>46784</v>
      </c>
      <c r="B731" s="1">
        <f t="shared" si="35"/>
        <v>3173.4375828864836</v>
      </c>
      <c r="C731">
        <f t="shared" si="36"/>
        <v>3.5342465753424658E-4</v>
      </c>
      <c r="D731" s="1">
        <f>B731*Table1[[#This Row],[Дневная ставка]]</f>
        <v>1.1215710909379628</v>
      </c>
      <c r="E731">
        <v>0</v>
      </c>
      <c r="F731" s="1">
        <f t="shared" si="34"/>
        <v>3174.5591539774214</v>
      </c>
    </row>
    <row r="732" spans="1:6" x14ac:dyDescent="0.3">
      <c r="A732" s="3">
        <v>46785</v>
      </c>
      <c r="B732" s="1">
        <f t="shared" si="35"/>
        <v>3174.5591539774214</v>
      </c>
      <c r="C732">
        <f t="shared" si="36"/>
        <v>3.5342465753424658E-4</v>
      </c>
      <c r="D732" s="1">
        <f>B732*Table1[[#This Row],[Дневная ставка]]</f>
        <v>1.1219674818166778</v>
      </c>
      <c r="E732">
        <v>0</v>
      </c>
      <c r="F732" s="1">
        <f t="shared" si="34"/>
        <v>3175.6811214592381</v>
      </c>
    </row>
    <row r="733" spans="1:6" x14ac:dyDescent="0.3">
      <c r="A733" s="3">
        <v>46786</v>
      </c>
      <c r="B733" s="1">
        <f t="shared" si="35"/>
        <v>3175.6811214592381</v>
      </c>
      <c r="C733">
        <f t="shared" si="36"/>
        <v>3.5342465753424658E-4</v>
      </c>
      <c r="D733" s="1">
        <f>B733*Table1[[#This Row],[Дневная ставка]]</f>
        <v>1.1223640127897034</v>
      </c>
      <c r="E733">
        <v>0</v>
      </c>
      <c r="F733" s="1">
        <f t="shared" si="34"/>
        <v>3176.8034854720277</v>
      </c>
    </row>
    <row r="734" spans="1:6" x14ac:dyDescent="0.3">
      <c r="A734" s="3">
        <v>46787</v>
      </c>
      <c r="B734" s="1">
        <f t="shared" si="35"/>
        <v>3176.8034854720277</v>
      </c>
      <c r="C734">
        <f t="shared" si="36"/>
        <v>3.5342465753424658E-4</v>
      </c>
      <c r="D734" s="1">
        <f>B734*Table1[[#This Row],[Дневная ставка]]</f>
        <v>1.1227606839065523</v>
      </c>
      <c r="E734">
        <v>0</v>
      </c>
      <c r="F734" s="1">
        <f t="shared" si="34"/>
        <v>3177.9262461559342</v>
      </c>
    </row>
    <row r="735" spans="1:6" x14ac:dyDescent="0.3">
      <c r="A735" s="3">
        <v>46788</v>
      </c>
      <c r="B735" s="1">
        <f t="shared" si="35"/>
        <v>3177.9262461559342</v>
      </c>
      <c r="C735">
        <f t="shared" si="36"/>
        <v>3.5342465753424658E-4</v>
      </c>
      <c r="D735" s="1">
        <f>B735*Table1[[#This Row],[Дневная ставка]]</f>
        <v>1.1231574952167549</v>
      </c>
      <c r="E735">
        <v>0</v>
      </c>
      <c r="F735" s="1">
        <f t="shared" si="34"/>
        <v>3179.0494036511509</v>
      </c>
    </row>
    <row r="736" spans="1:6" x14ac:dyDescent="0.3">
      <c r="A736" s="3">
        <v>46789</v>
      </c>
      <c r="B736" s="1">
        <f t="shared" si="35"/>
        <v>3179.0494036511509</v>
      </c>
      <c r="C736">
        <f t="shared" si="36"/>
        <v>3.5342465753424658E-4</v>
      </c>
      <c r="D736" s="1">
        <f>B736*Table1[[#This Row],[Дневная ставка]]</f>
        <v>1.1235544467698588</v>
      </c>
      <c r="E736">
        <v>0</v>
      </c>
      <c r="F736" s="1">
        <f t="shared" si="34"/>
        <v>3180.1729580979209</v>
      </c>
    </row>
    <row r="737" spans="1:6" x14ac:dyDescent="0.3">
      <c r="A737" s="3">
        <v>46790</v>
      </c>
      <c r="B737" s="1">
        <f t="shared" si="35"/>
        <v>3180.1729580979209</v>
      </c>
      <c r="C737">
        <f t="shared" si="36"/>
        <v>3.5342465753424658E-4</v>
      </c>
      <c r="D737" s="1">
        <f>B737*Table1[[#This Row],[Дневная ставка]]</f>
        <v>1.1239515386154295</v>
      </c>
      <c r="E737">
        <v>0</v>
      </c>
      <c r="F737" s="1">
        <f t="shared" si="34"/>
        <v>3181.2969096365364</v>
      </c>
    </row>
    <row r="738" spans="1:6" x14ac:dyDescent="0.3">
      <c r="A738" s="3">
        <v>46791</v>
      </c>
      <c r="B738" s="1">
        <f t="shared" si="35"/>
        <v>3181.2969096365364</v>
      </c>
      <c r="C738">
        <f t="shared" si="36"/>
        <v>3.5342465753424658E-4</v>
      </c>
      <c r="D738" s="1">
        <f>B738*Table1[[#This Row],[Дневная ставка]]</f>
        <v>1.12434877080305</v>
      </c>
      <c r="E738">
        <v>0</v>
      </c>
      <c r="F738" s="1">
        <f t="shared" si="34"/>
        <v>3182.4212584073393</v>
      </c>
    </row>
    <row r="739" spans="1:6" x14ac:dyDescent="0.3">
      <c r="A739" s="3">
        <v>46792</v>
      </c>
      <c r="B739" s="1">
        <f t="shared" si="35"/>
        <v>3182.4212584073393</v>
      </c>
      <c r="C739">
        <f t="shared" si="36"/>
        <v>3.5342465753424658E-4</v>
      </c>
      <c r="D739" s="1">
        <f>B739*Table1[[#This Row],[Дневная ставка]]</f>
        <v>1.12474614338232</v>
      </c>
      <c r="E739">
        <v>0</v>
      </c>
      <c r="F739" s="1">
        <f t="shared" si="34"/>
        <v>3183.5460045507216</v>
      </c>
    </row>
    <row r="740" spans="1:6" x14ac:dyDescent="0.3">
      <c r="A740" s="3">
        <v>46793</v>
      </c>
      <c r="B740" s="1">
        <f t="shared" si="35"/>
        <v>3183.5460045507216</v>
      </c>
      <c r="C740">
        <f t="shared" si="36"/>
        <v>3.5342465753424658E-4</v>
      </c>
      <c r="D740" s="1">
        <f>B740*Table1[[#This Row],[Дневная ставка]]</f>
        <v>1.1251436564028579</v>
      </c>
      <c r="E740">
        <v>0</v>
      </c>
      <c r="F740" s="1">
        <f t="shared" si="34"/>
        <v>3184.6711482071246</v>
      </c>
    </row>
    <row r="741" spans="1:6" x14ac:dyDescent="0.3">
      <c r="A741" s="3">
        <v>46794</v>
      </c>
      <c r="B741" s="1">
        <f t="shared" si="35"/>
        <v>3184.6711482071246</v>
      </c>
      <c r="C741">
        <f t="shared" si="36"/>
        <v>3.5342465753424658E-4</v>
      </c>
      <c r="D741" s="1">
        <f>B741*Table1[[#This Row],[Дневная ставка]]</f>
        <v>1.1255413099142988</v>
      </c>
      <c r="E741">
        <v>0</v>
      </c>
      <c r="F741" s="1">
        <f t="shared" si="34"/>
        <v>3185.7966895170389</v>
      </c>
    </row>
    <row r="742" spans="1:6" x14ac:dyDescent="0.3">
      <c r="A742" s="3">
        <v>46795</v>
      </c>
      <c r="B742" s="1">
        <f t="shared" si="35"/>
        <v>3185.7966895170389</v>
      </c>
      <c r="C742">
        <f t="shared" si="36"/>
        <v>3.5342465753424658E-4</v>
      </c>
      <c r="D742" s="1">
        <f>B742*Table1[[#This Row],[Дневная ставка]]</f>
        <v>1.125939103966296</v>
      </c>
      <c r="E742">
        <v>0</v>
      </c>
      <c r="F742" s="1">
        <f t="shared" si="34"/>
        <v>3186.9226286210051</v>
      </c>
    </row>
    <row r="743" spans="1:6" x14ac:dyDescent="0.3">
      <c r="A743" s="3">
        <v>46796</v>
      </c>
      <c r="B743" s="1">
        <f t="shared" si="35"/>
        <v>3186.9226286210051</v>
      </c>
      <c r="C743">
        <f t="shared" si="36"/>
        <v>3.5342465753424658E-4</v>
      </c>
      <c r="D743" s="1">
        <f>B743*Table1[[#This Row],[Дневная ставка]]</f>
        <v>1.1263370386085196</v>
      </c>
      <c r="E743">
        <v>0</v>
      </c>
      <c r="F743" s="1">
        <f t="shared" si="34"/>
        <v>3188.0489656596137</v>
      </c>
    </row>
    <row r="744" spans="1:6" x14ac:dyDescent="0.3">
      <c r="A744" s="3">
        <v>46797</v>
      </c>
      <c r="B744" s="1">
        <f t="shared" si="35"/>
        <v>3188.0489656596137</v>
      </c>
      <c r="C744">
        <f t="shared" si="36"/>
        <v>3.5342465753424658E-4</v>
      </c>
      <c r="D744" s="1">
        <f>B744*Table1[[#This Row],[Дневная ставка]]</f>
        <v>1.1267351138906581</v>
      </c>
      <c r="E744">
        <v>0</v>
      </c>
      <c r="F744" s="1">
        <f t="shared" si="34"/>
        <v>3189.1757007735046</v>
      </c>
    </row>
    <row r="745" spans="1:6" x14ac:dyDescent="0.3">
      <c r="A745" s="3">
        <v>46798</v>
      </c>
      <c r="B745" s="1">
        <f t="shared" si="35"/>
        <v>3189.1757007735046</v>
      </c>
      <c r="C745">
        <f t="shared" si="36"/>
        <v>3.5342465753424658E-4</v>
      </c>
      <c r="D745" s="1">
        <f>B745*Table1[[#This Row],[Дневная ставка]]</f>
        <v>1.1271333298624167</v>
      </c>
      <c r="E745">
        <v>0</v>
      </c>
      <c r="F745" s="1">
        <f t="shared" si="34"/>
        <v>3190.3028341033669</v>
      </c>
    </row>
    <row r="746" spans="1:6" x14ac:dyDescent="0.3">
      <c r="A746" s="3">
        <v>46799</v>
      </c>
      <c r="B746" s="1">
        <f t="shared" si="35"/>
        <v>3190.3028341033669</v>
      </c>
      <c r="C746">
        <f t="shared" si="36"/>
        <v>3.5342465753424658E-4</v>
      </c>
      <c r="D746" s="1">
        <f>B746*Table1[[#This Row],[Дневная ставка]]</f>
        <v>1.1275316865735188</v>
      </c>
      <c r="E746">
        <v>0</v>
      </c>
      <c r="F746" s="1">
        <f t="shared" si="34"/>
        <v>3191.4303657899404</v>
      </c>
    </row>
    <row r="747" spans="1:6" x14ac:dyDescent="0.3">
      <c r="A747" s="3">
        <v>46800</v>
      </c>
      <c r="B747" s="1">
        <f t="shared" si="35"/>
        <v>3191.4303657899404</v>
      </c>
      <c r="C747">
        <f t="shared" si="36"/>
        <v>3.5342465753424658E-4</v>
      </c>
      <c r="D747" s="1">
        <f>B747*Table1[[#This Row],[Дневная ставка]]</f>
        <v>1.127930184073705</v>
      </c>
      <c r="E747">
        <v>0</v>
      </c>
      <c r="F747" s="1">
        <f t="shared" si="34"/>
        <v>3192.5582959740141</v>
      </c>
    </row>
    <row r="748" spans="1:6" x14ac:dyDescent="0.3">
      <c r="A748" s="3">
        <v>46801</v>
      </c>
      <c r="B748" s="1">
        <f t="shared" si="35"/>
        <v>3192.5582959740141</v>
      </c>
      <c r="C748">
        <f t="shared" si="36"/>
        <v>3.5342465753424658E-4</v>
      </c>
      <c r="D748" s="1">
        <f>B748*Table1[[#This Row],[Дневная ставка]]</f>
        <v>1.1283288224127337</v>
      </c>
      <c r="E748">
        <v>0</v>
      </c>
      <c r="F748" s="1">
        <f t="shared" si="34"/>
        <v>3193.6866247964267</v>
      </c>
    </row>
    <row r="749" spans="1:6" x14ac:dyDescent="0.3">
      <c r="A749" s="3">
        <v>46802</v>
      </c>
      <c r="B749" s="1">
        <f t="shared" si="35"/>
        <v>3193.6866247964267</v>
      </c>
      <c r="C749">
        <f t="shared" si="36"/>
        <v>3.5342465753424658E-4</v>
      </c>
      <c r="D749" s="1">
        <f>B749*Table1[[#This Row],[Дневная ставка]]</f>
        <v>1.1287276016403809</v>
      </c>
      <c r="E749">
        <v>650.05999999999995</v>
      </c>
      <c r="F749" s="1">
        <f t="shared" si="34"/>
        <v>2544.7553523980673</v>
      </c>
    </row>
    <row r="750" spans="1:6" x14ac:dyDescent="0.3">
      <c r="A750" s="3">
        <v>46803</v>
      </c>
      <c r="B750" s="1">
        <f t="shared" si="35"/>
        <v>2544.7553523980673</v>
      </c>
      <c r="C750">
        <f t="shared" si="36"/>
        <v>3.5342465753424658E-4</v>
      </c>
      <c r="D750" s="1">
        <f>B750*Table1[[#This Row],[Дневная ставка]]</f>
        <v>0.89937928892972796</v>
      </c>
      <c r="E750">
        <v>0</v>
      </c>
      <c r="F750" s="1">
        <f t="shared" si="34"/>
        <v>2545.6547316869969</v>
      </c>
    </row>
    <row r="751" spans="1:6" x14ac:dyDescent="0.3">
      <c r="A751" s="3">
        <v>46804</v>
      </c>
      <c r="B751" s="1">
        <f t="shared" si="35"/>
        <v>2545.6547316869969</v>
      </c>
      <c r="C751">
        <f t="shared" si="36"/>
        <v>3.5342465753424658E-4</v>
      </c>
      <c r="D751" s="1">
        <f>B751*Table1[[#This Row],[Дневная ставка]]</f>
        <v>0.89969715174691123</v>
      </c>
      <c r="E751">
        <v>0</v>
      </c>
      <c r="F751" s="1">
        <f t="shared" si="34"/>
        <v>2546.5544288387437</v>
      </c>
    </row>
    <row r="752" spans="1:6" x14ac:dyDescent="0.3">
      <c r="A752" s="3">
        <v>46805</v>
      </c>
      <c r="B752" s="1">
        <f t="shared" si="35"/>
        <v>2546.5544288387437</v>
      </c>
      <c r="C752">
        <f t="shared" si="36"/>
        <v>3.5342465753424658E-4</v>
      </c>
      <c r="D752" s="1">
        <f>B752*Table1[[#This Row],[Дневная ставка]]</f>
        <v>0.90001512690465191</v>
      </c>
      <c r="E752">
        <v>0</v>
      </c>
      <c r="F752" s="1">
        <f t="shared" si="34"/>
        <v>2547.4544439656484</v>
      </c>
    </row>
    <row r="753" spans="1:6" x14ac:dyDescent="0.3">
      <c r="A753" s="3">
        <v>46806</v>
      </c>
      <c r="B753" s="1">
        <f t="shared" si="35"/>
        <v>2547.4544439656484</v>
      </c>
      <c r="C753">
        <f t="shared" si="36"/>
        <v>3.5342465753424658E-4</v>
      </c>
      <c r="D753" s="1">
        <f>B753*Table1[[#This Row],[Дневная ставка]]</f>
        <v>0.9003332144426538</v>
      </c>
      <c r="E753">
        <v>0</v>
      </c>
      <c r="F753" s="1">
        <f t="shared" si="34"/>
        <v>2548.3547771800909</v>
      </c>
    </row>
    <row r="754" spans="1:6" x14ac:dyDescent="0.3">
      <c r="A754" s="3">
        <v>46807</v>
      </c>
      <c r="B754" s="1">
        <f t="shared" si="35"/>
        <v>2548.3547771800909</v>
      </c>
      <c r="C754">
        <f t="shared" si="36"/>
        <v>3.5342465753424658E-4</v>
      </c>
      <c r="D754" s="1">
        <f>B754*Table1[[#This Row],[Дневная ставка]]</f>
        <v>0.9006514144006349</v>
      </c>
      <c r="E754">
        <v>0</v>
      </c>
      <c r="F754" s="1">
        <f t="shared" si="34"/>
        <v>2549.2554285944916</v>
      </c>
    </row>
    <row r="755" spans="1:6" x14ac:dyDescent="0.3">
      <c r="A755" s="3">
        <v>46808</v>
      </c>
      <c r="B755" s="1">
        <f t="shared" si="35"/>
        <v>2549.2554285944916</v>
      </c>
      <c r="C755">
        <f t="shared" si="36"/>
        <v>3.5342465753424658E-4</v>
      </c>
      <c r="D755" s="1">
        <f>B755*Table1[[#This Row],[Дневная ставка]]</f>
        <v>0.90096972681832721</v>
      </c>
      <c r="E755">
        <v>0</v>
      </c>
      <c r="F755" s="1">
        <f t="shared" si="34"/>
        <v>2550.15639832131</v>
      </c>
    </row>
    <row r="756" spans="1:6" x14ac:dyDescent="0.3">
      <c r="A756" s="3">
        <v>46809</v>
      </c>
      <c r="B756" s="1">
        <f t="shared" si="35"/>
        <v>2550.15639832131</v>
      </c>
      <c r="C756">
        <f t="shared" si="36"/>
        <v>3.5342465753424658E-4</v>
      </c>
      <c r="D756" s="1">
        <f>B756*Table1[[#This Row],[Дневная ставка]]</f>
        <v>0.90128815173547672</v>
      </c>
      <c r="E756">
        <v>0</v>
      </c>
      <c r="F756" s="1">
        <f t="shared" si="34"/>
        <v>2551.0576864730456</v>
      </c>
    </row>
    <row r="757" spans="1:6" x14ac:dyDescent="0.3">
      <c r="A757" s="3">
        <v>46810</v>
      </c>
      <c r="B757" s="1">
        <f t="shared" si="35"/>
        <v>2551.0576864730456</v>
      </c>
      <c r="C757">
        <f t="shared" si="36"/>
        <v>3.5342465753424658E-4</v>
      </c>
      <c r="D757" s="1">
        <f>B757*Table1[[#This Row],[Дневная ставка]]</f>
        <v>0.9016066891918435</v>
      </c>
      <c r="E757">
        <v>0</v>
      </c>
      <c r="F757" s="1">
        <f t="shared" si="34"/>
        <v>2551.9592931622374</v>
      </c>
    </row>
    <row r="758" spans="1:6" x14ac:dyDescent="0.3">
      <c r="A758" s="3">
        <v>46811</v>
      </c>
      <c r="B758" s="1">
        <f t="shared" si="35"/>
        <v>2551.9592931622374</v>
      </c>
      <c r="C758">
        <f t="shared" si="36"/>
        <v>3.5342465753424658E-4</v>
      </c>
      <c r="D758" s="1">
        <f>B758*Table1[[#This Row],[Дневная ставка]]</f>
        <v>0.90192533922720175</v>
      </c>
      <c r="E758">
        <v>0</v>
      </c>
      <c r="F758" s="1">
        <f t="shared" si="34"/>
        <v>2552.8612185014645</v>
      </c>
    </row>
    <row r="759" spans="1:6" x14ac:dyDescent="0.3">
      <c r="A759" s="3">
        <v>46812</v>
      </c>
      <c r="B759" s="1">
        <f t="shared" si="35"/>
        <v>2552.8612185014645</v>
      </c>
      <c r="C759">
        <f t="shared" si="36"/>
        <v>3.5342465753424658E-4</v>
      </c>
      <c r="D759" s="1">
        <f>B759*Table1[[#This Row],[Дневная ставка]]</f>
        <v>0.90224410188133952</v>
      </c>
      <c r="E759">
        <v>0</v>
      </c>
      <c r="F759" s="1">
        <f t="shared" si="34"/>
        <v>2553.7634626033459</v>
      </c>
    </row>
    <row r="760" spans="1:6" x14ac:dyDescent="0.3">
      <c r="A760" s="3">
        <v>46813</v>
      </c>
      <c r="B760" s="1">
        <f t="shared" si="35"/>
        <v>2553.7634626033459</v>
      </c>
      <c r="C760">
        <f t="shared" si="36"/>
        <v>3.5342465753424658E-4</v>
      </c>
      <c r="D760" s="1">
        <f>B760*Table1[[#This Row],[Дневная ставка]]</f>
        <v>0.90256297719405931</v>
      </c>
      <c r="E760">
        <v>0</v>
      </c>
      <c r="F760" s="1">
        <f t="shared" si="34"/>
        <v>2554.66602558054</v>
      </c>
    </row>
    <row r="761" spans="1:6" x14ac:dyDescent="0.3">
      <c r="A761" s="3">
        <v>46814</v>
      </c>
      <c r="B761" s="1">
        <f t="shared" si="35"/>
        <v>2554.66602558054</v>
      </c>
      <c r="C761">
        <f t="shared" si="36"/>
        <v>3.5342465753424658E-4</v>
      </c>
      <c r="D761" s="1">
        <f>B761*Table1[[#This Row],[Дневная ставка]]</f>
        <v>0.90288196520517716</v>
      </c>
      <c r="E761">
        <v>0</v>
      </c>
      <c r="F761" s="1">
        <f t="shared" si="34"/>
        <v>2555.5689075457453</v>
      </c>
    </row>
    <row r="762" spans="1:6" x14ac:dyDescent="0.3">
      <c r="A762" s="3">
        <v>46815</v>
      </c>
      <c r="B762" s="1">
        <f t="shared" si="35"/>
        <v>2555.5689075457453</v>
      </c>
      <c r="C762">
        <f t="shared" si="36"/>
        <v>3.5342465753424658E-4</v>
      </c>
      <c r="D762" s="1">
        <f>B762*Table1[[#This Row],[Дневная ставка]]</f>
        <v>0.90320106595452376</v>
      </c>
      <c r="E762">
        <v>0</v>
      </c>
      <c r="F762" s="1">
        <f t="shared" si="34"/>
        <v>2556.4721086116997</v>
      </c>
    </row>
    <row r="763" spans="1:6" x14ac:dyDescent="0.3">
      <c r="A763" s="3">
        <v>46816</v>
      </c>
      <c r="B763" s="1">
        <f t="shared" si="35"/>
        <v>2556.4721086116997</v>
      </c>
      <c r="C763">
        <f t="shared" si="36"/>
        <v>3.5342465753424658E-4</v>
      </c>
      <c r="D763" s="1">
        <f>B763*Table1[[#This Row],[Дневная ставка]]</f>
        <v>0.90352027948194324</v>
      </c>
      <c r="E763">
        <v>0</v>
      </c>
      <c r="F763" s="1">
        <f t="shared" si="34"/>
        <v>2557.3756288911818</v>
      </c>
    </row>
    <row r="764" spans="1:6" x14ac:dyDescent="0.3">
      <c r="A764" s="3">
        <v>46817</v>
      </c>
      <c r="B764" s="1">
        <f t="shared" si="35"/>
        <v>2557.3756288911818</v>
      </c>
      <c r="C764">
        <f t="shared" si="36"/>
        <v>3.5342465753424658E-4</v>
      </c>
      <c r="D764" s="1">
        <f>B764*Table1[[#This Row],[Дневная ставка]]</f>
        <v>0.90383960582729439</v>
      </c>
      <c r="E764">
        <v>0</v>
      </c>
      <c r="F764" s="1">
        <f t="shared" si="34"/>
        <v>2558.279468497009</v>
      </c>
    </row>
    <row r="765" spans="1:6" x14ac:dyDescent="0.3">
      <c r="A765" s="3">
        <v>46818</v>
      </c>
      <c r="B765" s="1">
        <f t="shared" si="35"/>
        <v>2558.279468497009</v>
      </c>
      <c r="C765">
        <f t="shared" si="36"/>
        <v>3.5342465753424658E-4</v>
      </c>
      <c r="D765" s="1">
        <f>B765*Table1[[#This Row],[Дневная ставка]]</f>
        <v>0.90415904503044975</v>
      </c>
      <c r="E765">
        <v>0</v>
      </c>
      <c r="F765" s="1">
        <f t="shared" si="34"/>
        <v>2559.1836275420396</v>
      </c>
    </row>
    <row r="766" spans="1:6" x14ac:dyDescent="0.3">
      <c r="A766" s="3">
        <v>46819</v>
      </c>
      <c r="B766" s="1">
        <f t="shared" si="35"/>
        <v>2559.1836275420396</v>
      </c>
      <c r="C766">
        <f t="shared" si="36"/>
        <v>3.5342465753424658E-4</v>
      </c>
      <c r="D766" s="1">
        <f>B766*Table1[[#This Row],[Дневная ставка]]</f>
        <v>0.90447859713129619</v>
      </c>
      <c r="E766">
        <v>0</v>
      </c>
      <c r="F766" s="1">
        <f t="shared" si="34"/>
        <v>2560.088106139171</v>
      </c>
    </row>
    <row r="767" spans="1:6" x14ac:dyDescent="0.3">
      <c r="A767" s="3">
        <v>46820</v>
      </c>
      <c r="B767" s="1">
        <f t="shared" si="35"/>
        <v>2560.088106139171</v>
      </c>
      <c r="C767">
        <f t="shared" si="36"/>
        <v>3.5342465753424658E-4</v>
      </c>
      <c r="D767" s="1">
        <f>B767*Table1[[#This Row],[Дневная ставка]]</f>
        <v>0.90479826216973447</v>
      </c>
      <c r="E767">
        <v>0</v>
      </c>
      <c r="F767" s="1">
        <f t="shared" si="34"/>
        <v>2560.9929044013406</v>
      </c>
    </row>
    <row r="768" spans="1:6" x14ac:dyDescent="0.3">
      <c r="A768" s="3">
        <v>46821</v>
      </c>
      <c r="B768" s="1">
        <f t="shared" si="35"/>
        <v>2560.9929044013406</v>
      </c>
      <c r="C768">
        <f t="shared" si="36"/>
        <v>3.5342465753424658E-4</v>
      </c>
      <c r="D768" s="1">
        <f>B768*Table1[[#This Row],[Дневная ставка]]</f>
        <v>0.90511804018567932</v>
      </c>
      <c r="E768">
        <v>0</v>
      </c>
      <c r="F768" s="1">
        <f t="shared" si="34"/>
        <v>2561.8980224415263</v>
      </c>
    </row>
    <row r="769" spans="1:6" x14ac:dyDescent="0.3">
      <c r="A769" s="3">
        <v>46822</v>
      </c>
      <c r="B769" s="1">
        <f t="shared" si="35"/>
        <v>2561.8980224415263</v>
      </c>
      <c r="C769">
        <f t="shared" si="36"/>
        <v>3.5342465753424658E-4</v>
      </c>
      <c r="D769" s="1">
        <f>B769*Table1[[#This Row],[Дневная ставка]]</f>
        <v>0.90543793121906002</v>
      </c>
      <c r="E769">
        <v>0</v>
      </c>
      <c r="F769" s="1">
        <f t="shared" si="34"/>
        <v>2562.8034603727456</v>
      </c>
    </row>
    <row r="770" spans="1:6" x14ac:dyDescent="0.3">
      <c r="A770" s="3">
        <v>46823</v>
      </c>
      <c r="B770" s="1">
        <f t="shared" si="35"/>
        <v>2562.8034603727456</v>
      </c>
      <c r="C770">
        <f t="shared" si="36"/>
        <v>3.5342465753424658E-4</v>
      </c>
      <c r="D770" s="1">
        <f>B770*Table1[[#This Row],[Дневная ставка]]</f>
        <v>0.90575793530981974</v>
      </c>
      <c r="E770">
        <v>0</v>
      </c>
      <c r="F770" s="1">
        <f t="shared" si="34"/>
        <v>2563.7092183080554</v>
      </c>
    </row>
    <row r="771" spans="1:6" x14ac:dyDescent="0.3">
      <c r="A771" s="3">
        <v>46824</v>
      </c>
      <c r="B771" s="1">
        <f t="shared" si="35"/>
        <v>2563.7092183080554</v>
      </c>
      <c r="C771">
        <f t="shared" si="36"/>
        <v>3.5342465753424658E-4</v>
      </c>
      <c r="D771" s="1">
        <f>B771*Table1[[#This Row],[Дневная ставка]]</f>
        <v>0.90607805249791551</v>
      </c>
      <c r="E771">
        <v>0</v>
      </c>
      <c r="F771" s="1">
        <f t="shared" ref="F771:F834" si="37">B771+D771-E771</f>
        <v>2564.6152963605532</v>
      </c>
    </row>
    <row r="772" spans="1:6" x14ac:dyDescent="0.3">
      <c r="A772" s="3">
        <v>46825</v>
      </c>
      <c r="B772" s="1">
        <f t="shared" ref="B772:B835" si="38">F771</f>
        <v>2564.6152963605532</v>
      </c>
      <c r="C772">
        <f t="shared" si="36"/>
        <v>3.5342465753424658E-4</v>
      </c>
      <c r="D772" s="1">
        <f>B772*Table1[[#This Row],[Дневная ставка]]</f>
        <v>0.9063982828233188</v>
      </c>
      <c r="E772">
        <v>0</v>
      </c>
      <c r="F772" s="1">
        <f t="shared" si="37"/>
        <v>2565.5216946433766</v>
      </c>
    </row>
    <row r="773" spans="1:6" x14ac:dyDescent="0.3">
      <c r="A773" s="3">
        <v>46826</v>
      </c>
      <c r="B773" s="1">
        <f t="shared" si="38"/>
        <v>2565.5216946433766</v>
      </c>
      <c r="C773">
        <f t="shared" si="36"/>
        <v>3.5342465753424658E-4</v>
      </c>
      <c r="D773" s="1">
        <f>B773*Table1[[#This Row],[Дневная ставка]]</f>
        <v>0.9067186263260153</v>
      </c>
      <c r="E773">
        <v>0</v>
      </c>
      <c r="F773" s="1">
        <f t="shared" si="37"/>
        <v>2566.4284132697026</v>
      </c>
    </row>
    <row r="774" spans="1:6" x14ac:dyDescent="0.3">
      <c r="A774" s="3">
        <v>46827</v>
      </c>
      <c r="B774" s="1">
        <f t="shared" si="38"/>
        <v>2566.4284132697026</v>
      </c>
      <c r="C774">
        <f t="shared" si="36"/>
        <v>3.5342465753424658E-4</v>
      </c>
      <c r="D774" s="1">
        <f>B774*Table1[[#This Row],[Дневная ставка]]</f>
        <v>0.90703908304600445</v>
      </c>
      <c r="E774">
        <v>0</v>
      </c>
      <c r="F774" s="1">
        <f t="shared" si="37"/>
        <v>2567.3354523527487</v>
      </c>
    </row>
    <row r="775" spans="1:6" x14ac:dyDescent="0.3">
      <c r="A775" s="3">
        <v>46828</v>
      </c>
      <c r="B775" s="1">
        <f t="shared" si="38"/>
        <v>2567.3354523527487</v>
      </c>
      <c r="C775">
        <f t="shared" si="36"/>
        <v>3.5342465753424658E-4</v>
      </c>
      <c r="D775" s="1">
        <f>B775*Table1[[#This Row],[Дневная ставка]]</f>
        <v>0.90735965302330024</v>
      </c>
      <c r="E775">
        <v>0</v>
      </c>
      <c r="F775" s="1">
        <f t="shared" si="37"/>
        <v>2568.2428120057721</v>
      </c>
    </row>
    <row r="776" spans="1:6" x14ac:dyDescent="0.3">
      <c r="A776" s="3">
        <v>46829</v>
      </c>
      <c r="B776" s="1">
        <f t="shared" si="38"/>
        <v>2568.2428120057721</v>
      </c>
      <c r="C776">
        <f t="shared" si="36"/>
        <v>3.5342465753424658E-4</v>
      </c>
      <c r="D776" s="1">
        <f>B776*Table1[[#This Row],[Дневная ставка]]</f>
        <v>0.90768033629793043</v>
      </c>
      <c r="E776">
        <v>0</v>
      </c>
      <c r="F776" s="1">
        <f t="shared" si="37"/>
        <v>2569.1504923420698</v>
      </c>
    </row>
    <row r="777" spans="1:6" x14ac:dyDescent="0.3">
      <c r="A777" s="3">
        <v>46830</v>
      </c>
      <c r="B777" s="1">
        <f t="shared" si="38"/>
        <v>2569.1504923420698</v>
      </c>
      <c r="C777">
        <f t="shared" si="36"/>
        <v>3.5342465753424658E-4</v>
      </c>
      <c r="D777" s="1">
        <f>B777*Table1[[#This Row],[Дневная ставка]]</f>
        <v>0.908001132909937</v>
      </c>
      <c r="E777">
        <v>0</v>
      </c>
      <c r="F777" s="1">
        <f t="shared" si="37"/>
        <v>2570.05849347498</v>
      </c>
    </row>
    <row r="778" spans="1:6" x14ac:dyDescent="0.3">
      <c r="A778" s="3">
        <v>46831</v>
      </c>
      <c r="B778" s="1">
        <f t="shared" si="38"/>
        <v>2570.05849347498</v>
      </c>
      <c r="C778">
        <f t="shared" si="36"/>
        <v>3.5342465753424658E-4</v>
      </c>
      <c r="D778" s="1">
        <f>B778*Table1[[#This Row],[Дневная ставка]]</f>
        <v>0.90832204289937646</v>
      </c>
      <c r="E778">
        <v>650.05999999999995</v>
      </c>
      <c r="F778" s="1">
        <f t="shared" si="37"/>
        <v>1920.9068155178793</v>
      </c>
    </row>
    <row r="779" spans="1:6" x14ac:dyDescent="0.3">
      <c r="A779" s="3">
        <v>46832</v>
      </c>
      <c r="B779" s="1">
        <f t="shared" si="38"/>
        <v>1920.9068155178793</v>
      </c>
      <c r="C779">
        <f t="shared" si="36"/>
        <v>3.5342465753424658E-4</v>
      </c>
      <c r="D779" s="1">
        <f>B779*Table1[[#This Row],[Дневная ставка]]</f>
        <v>0.67889583342960669</v>
      </c>
      <c r="E779">
        <v>0</v>
      </c>
      <c r="F779" s="1">
        <f t="shared" si="37"/>
        <v>1921.5857113513089</v>
      </c>
    </row>
    <row r="780" spans="1:6" x14ac:dyDescent="0.3">
      <c r="A780" s="3">
        <v>46833</v>
      </c>
      <c r="B780" s="1">
        <f t="shared" si="38"/>
        <v>1921.5857113513089</v>
      </c>
      <c r="C780">
        <f t="shared" si="36"/>
        <v>3.5342465753424658E-4</v>
      </c>
      <c r="D780" s="1">
        <f>B780*Table1[[#This Row],[Дневная ставка]]</f>
        <v>0.67913577195703789</v>
      </c>
      <c r="E780">
        <v>0</v>
      </c>
      <c r="F780" s="1">
        <f t="shared" si="37"/>
        <v>1922.264847123266</v>
      </c>
    </row>
    <row r="781" spans="1:6" x14ac:dyDescent="0.3">
      <c r="A781" s="3">
        <v>46834</v>
      </c>
      <c r="B781" s="1">
        <f t="shared" si="38"/>
        <v>1922.264847123266</v>
      </c>
      <c r="C781">
        <f t="shared" si="36"/>
        <v>3.5342465753424658E-4</v>
      </c>
      <c r="D781" s="1">
        <f>B781*Table1[[#This Row],[Дневная ставка]]</f>
        <v>0.67937579528466119</v>
      </c>
      <c r="E781">
        <v>0</v>
      </c>
      <c r="F781" s="1">
        <f t="shared" si="37"/>
        <v>1922.9442229185506</v>
      </c>
    </row>
    <row r="782" spans="1:6" x14ac:dyDescent="0.3">
      <c r="A782" s="3">
        <v>46835</v>
      </c>
      <c r="B782" s="1">
        <f t="shared" si="38"/>
        <v>1922.9442229185506</v>
      </c>
      <c r="C782">
        <f t="shared" si="36"/>
        <v>3.5342465753424658E-4</v>
      </c>
      <c r="D782" s="1">
        <f>B782*Table1[[#This Row],[Дневная ставка]]</f>
        <v>0.67961590344244671</v>
      </c>
      <c r="E782">
        <v>0</v>
      </c>
      <c r="F782" s="1">
        <f t="shared" si="37"/>
        <v>1923.6238388219931</v>
      </c>
    </row>
    <row r="783" spans="1:6" x14ac:dyDescent="0.3">
      <c r="A783" s="3">
        <v>46836</v>
      </c>
      <c r="B783" s="1">
        <f t="shared" si="38"/>
        <v>1923.6238388219931</v>
      </c>
      <c r="C783">
        <f t="shared" si="36"/>
        <v>3.5342465753424658E-4</v>
      </c>
      <c r="D783" s="1">
        <f>B783*Table1[[#This Row],[Дневная ставка]]</f>
        <v>0.6798560964603757</v>
      </c>
      <c r="E783">
        <v>0</v>
      </c>
      <c r="F783" s="1">
        <f t="shared" si="37"/>
        <v>1924.3036949184534</v>
      </c>
    </row>
    <row r="784" spans="1:6" x14ac:dyDescent="0.3">
      <c r="A784" s="3">
        <v>46837</v>
      </c>
      <c r="B784" s="1">
        <f t="shared" si="38"/>
        <v>1924.3036949184534</v>
      </c>
      <c r="C784">
        <f t="shared" si="36"/>
        <v>3.5342465753424658E-4</v>
      </c>
      <c r="D784" s="1">
        <f>B784*Table1[[#This Row],[Дневная ставка]]</f>
        <v>0.68009637436843973</v>
      </c>
      <c r="E784">
        <v>0</v>
      </c>
      <c r="F784" s="1">
        <f t="shared" si="37"/>
        <v>1924.9837912928219</v>
      </c>
    </row>
    <row r="785" spans="1:6" x14ac:dyDescent="0.3">
      <c r="A785" s="3">
        <v>46838</v>
      </c>
      <c r="B785" s="1">
        <f t="shared" si="38"/>
        <v>1924.9837912928219</v>
      </c>
      <c r="C785">
        <f t="shared" si="36"/>
        <v>3.5342465753424658E-4</v>
      </c>
      <c r="D785" s="1">
        <f>B785*Table1[[#This Row],[Дневная ставка]]</f>
        <v>0.68033673719664123</v>
      </c>
      <c r="E785">
        <v>0</v>
      </c>
      <c r="F785" s="1">
        <f t="shared" si="37"/>
        <v>1925.6641280300187</v>
      </c>
    </row>
    <row r="786" spans="1:6" x14ac:dyDescent="0.3">
      <c r="A786" s="3">
        <v>46839</v>
      </c>
      <c r="B786" s="1">
        <f t="shared" si="38"/>
        <v>1925.6641280300187</v>
      </c>
      <c r="C786">
        <f t="shared" si="36"/>
        <v>3.5342465753424658E-4</v>
      </c>
      <c r="D786" s="1">
        <f>B786*Table1[[#This Row],[Дневная ставка]]</f>
        <v>0.68057718497499287</v>
      </c>
      <c r="E786">
        <v>0</v>
      </c>
      <c r="F786" s="1">
        <f t="shared" si="37"/>
        <v>1926.3447052149936</v>
      </c>
    </row>
    <row r="787" spans="1:6" x14ac:dyDescent="0.3">
      <c r="A787" s="3">
        <v>46840</v>
      </c>
      <c r="B787" s="1">
        <f t="shared" si="38"/>
        <v>1926.3447052149936</v>
      </c>
      <c r="C787">
        <f t="shared" si="36"/>
        <v>3.5342465753424658E-4</v>
      </c>
      <c r="D787" s="1">
        <f>B787*Table1[[#This Row],[Дневная ставка]]</f>
        <v>0.68081771773351829</v>
      </c>
      <c r="E787">
        <v>0</v>
      </c>
      <c r="F787" s="1">
        <f t="shared" si="37"/>
        <v>1927.0255229327272</v>
      </c>
    </row>
    <row r="788" spans="1:6" x14ac:dyDescent="0.3">
      <c r="A788" s="3">
        <v>46841</v>
      </c>
      <c r="B788" s="1">
        <f t="shared" si="38"/>
        <v>1927.0255229327272</v>
      </c>
      <c r="C788">
        <f t="shared" ref="C788:C851" si="39">(12.9%/365)</f>
        <v>3.5342465753424658E-4</v>
      </c>
      <c r="D788" s="1">
        <f>B788*Table1[[#This Row],[Дневная ставка]]</f>
        <v>0.68105833550225159</v>
      </c>
      <c r="E788">
        <v>0</v>
      </c>
      <c r="F788" s="1">
        <f t="shared" si="37"/>
        <v>1927.7065812682295</v>
      </c>
    </row>
    <row r="789" spans="1:6" x14ac:dyDescent="0.3">
      <c r="A789" s="3">
        <v>46842</v>
      </c>
      <c r="B789" s="1">
        <f t="shared" si="38"/>
        <v>1927.7065812682295</v>
      </c>
      <c r="C789">
        <f t="shared" si="39"/>
        <v>3.5342465753424658E-4</v>
      </c>
      <c r="D789" s="1">
        <f>B789*Table1[[#This Row],[Дневная ставка]]</f>
        <v>0.68129903831123728</v>
      </c>
      <c r="E789">
        <v>0</v>
      </c>
      <c r="F789" s="1">
        <f t="shared" si="37"/>
        <v>1928.3878803065406</v>
      </c>
    </row>
    <row r="790" spans="1:6" x14ac:dyDescent="0.3">
      <c r="A790" s="3">
        <v>46843</v>
      </c>
      <c r="B790" s="1">
        <f t="shared" si="38"/>
        <v>1928.3878803065406</v>
      </c>
      <c r="C790">
        <f t="shared" si="39"/>
        <v>3.5342465753424658E-4</v>
      </c>
      <c r="D790" s="1">
        <f>B790*Table1[[#This Row],[Дневная ставка]]</f>
        <v>0.68153982619053077</v>
      </c>
      <c r="E790">
        <v>0</v>
      </c>
      <c r="F790" s="1">
        <f t="shared" si="37"/>
        <v>1929.0694201327312</v>
      </c>
    </row>
    <row r="791" spans="1:6" x14ac:dyDescent="0.3">
      <c r="A791" s="3">
        <v>46844</v>
      </c>
      <c r="B791" s="1">
        <f t="shared" si="38"/>
        <v>1929.0694201327312</v>
      </c>
      <c r="C791">
        <f t="shared" si="39"/>
        <v>3.5342465753424658E-4</v>
      </c>
      <c r="D791" s="1">
        <f>B791*Table1[[#This Row],[Дневная ставка]]</f>
        <v>0.68178069917019823</v>
      </c>
      <c r="E791">
        <v>0</v>
      </c>
      <c r="F791" s="1">
        <f t="shared" si="37"/>
        <v>1929.7512008319015</v>
      </c>
    </row>
    <row r="792" spans="1:6" x14ac:dyDescent="0.3">
      <c r="A792" s="3">
        <v>46845</v>
      </c>
      <c r="B792" s="1">
        <f t="shared" si="38"/>
        <v>1929.7512008319015</v>
      </c>
      <c r="C792">
        <f t="shared" si="39"/>
        <v>3.5342465753424658E-4</v>
      </c>
      <c r="D792" s="1">
        <f>B792*Table1[[#This Row],[Дневная ставка]]</f>
        <v>0.68202165728031594</v>
      </c>
      <c r="E792">
        <v>0</v>
      </c>
      <c r="F792" s="1">
        <f t="shared" si="37"/>
        <v>1930.4332224891818</v>
      </c>
    </row>
    <row r="793" spans="1:6" x14ac:dyDescent="0.3">
      <c r="A793" s="3">
        <v>46846</v>
      </c>
      <c r="B793" s="1">
        <f t="shared" si="38"/>
        <v>1930.4332224891818</v>
      </c>
      <c r="C793">
        <f t="shared" si="39"/>
        <v>3.5342465753424658E-4</v>
      </c>
      <c r="D793" s="1">
        <f>B793*Table1[[#This Row],[Дневная ставка]]</f>
        <v>0.68226270055097116</v>
      </c>
      <c r="E793">
        <v>0</v>
      </c>
      <c r="F793" s="1">
        <f t="shared" si="37"/>
        <v>1931.1154851897329</v>
      </c>
    </row>
    <row r="794" spans="1:6" x14ac:dyDescent="0.3">
      <c r="A794" s="3">
        <v>46847</v>
      </c>
      <c r="B794" s="1">
        <f t="shared" si="38"/>
        <v>1931.1154851897329</v>
      </c>
      <c r="C794">
        <f t="shared" si="39"/>
        <v>3.5342465753424658E-4</v>
      </c>
      <c r="D794" s="1">
        <f>B794*Table1[[#This Row],[Дневная ставка]]</f>
        <v>0.68250382901226181</v>
      </c>
      <c r="E794">
        <v>0</v>
      </c>
      <c r="F794" s="1">
        <f t="shared" si="37"/>
        <v>1931.7979890187451</v>
      </c>
    </row>
    <row r="795" spans="1:6" x14ac:dyDescent="0.3">
      <c r="A795" s="3">
        <v>46848</v>
      </c>
      <c r="B795" s="1">
        <f t="shared" si="38"/>
        <v>1931.7979890187451</v>
      </c>
      <c r="C795">
        <f t="shared" si="39"/>
        <v>3.5342465753424658E-4</v>
      </c>
      <c r="D795" s="1">
        <f>B795*Table1[[#This Row],[Дневная ставка]]</f>
        <v>0.68274504269429626</v>
      </c>
      <c r="E795">
        <v>0</v>
      </c>
      <c r="F795" s="1">
        <f t="shared" si="37"/>
        <v>1932.4807340614393</v>
      </c>
    </row>
    <row r="796" spans="1:6" x14ac:dyDescent="0.3">
      <c r="A796" s="3">
        <v>46849</v>
      </c>
      <c r="B796" s="1">
        <f t="shared" si="38"/>
        <v>1932.4807340614393</v>
      </c>
      <c r="C796">
        <f t="shared" si="39"/>
        <v>3.5342465753424658E-4</v>
      </c>
      <c r="D796" s="1">
        <f>B796*Table1[[#This Row],[Дневная ставка]]</f>
        <v>0.68298634162719363</v>
      </c>
      <c r="E796">
        <v>0</v>
      </c>
      <c r="F796" s="1">
        <f t="shared" si="37"/>
        <v>1933.1637204030665</v>
      </c>
    </row>
    <row r="797" spans="1:6" x14ac:dyDescent="0.3">
      <c r="A797" s="3">
        <v>46850</v>
      </c>
      <c r="B797" s="1">
        <f t="shared" si="38"/>
        <v>1933.1637204030665</v>
      </c>
      <c r="C797">
        <f t="shared" si="39"/>
        <v>3.5342465753424658E-4</v>
      </c>
      <c r="D797" s="1">
        <f>B797*Table1[[#This Row],[Дневная ставка]]</f>
        <v>0.68322772584108382</v>
      </c>
      <c r="E797">
        <v>0</v>
      </c>
      <c r="F797" s="1">
        <f t="shared" si="37"/>
        <v>1933.8469481289076</v>
      </c>
    </row>
    <row r="798" spans="1:6" x14ac:dyDescent="0.3">
      <c r="A798" s="3">
        <v>46851</v>
      </c>
      <c r="B798" s="1">
        <f t="shared" si="38"/>
        <v>1933.8469481289076</v>
      </c>
      <c r="C798">
        <f t="shared" si="39"/>
        <v>3.5342465753424658E-4</v>
      </c>
      <c r="D798" s="1">
        <f>B798*Table1[[#This Row],[Дневная ставка]]</f>
        <v>0.68346919536610706</v>
      </c>
      <c r="E798">
        <v>0</v>
      </c>
      <c r="F798" s="1">
        <f t="shared" si="37"/>
        <v>1934.5304173242737</v>
      </c>
    </row>
    <row r="799" spans="1:6" x14ac:dyDescent="0.3">
      <c r="A799" s="3">
        <v>46852</v>
      </c>
      <c r="B799" s="1">
        <f t="shared" si="38"/>
        <v>1934.5304173242737</v>
      </c>
      <c r="C799">
        <f t="shared" si="39"/>
        <v>3.5342465753424658E-4</v>
      </c>
      <c r="D799" s="1">
        <f>B799*Table1[[#This Row],[Дневная ставка]]</f>
        <v>0.68371075023241457</v>
      </c>
      <c r="E799">
        <v>0</v>
      </c>
      <c r="F799" s="1">
        <f t="shared" si="37"/>
        <v>1935.2141280745061</v>
      </c>
    </row>
    <row r="800" spans="1:6" x14ac:dyDescent="0.3">
      <c r="A800" s="3">
        <v>46853</v>
      </c>
      <c r="B800" s="1">
        <f t="shared" si="38"/>
        <v>1935.2141280745061</v>
      </c>
      <c r="C800">
        <f t="shared" si="39"/>
        <v>3.5342465753424658E-4</v>
      </c>
      <c r="D800" s="1">
        <f>B800*Table1[[#This Row],[Дневная ставка]]</f>
        <v>0.68395239047016798</v>
      </c>
      <c r="E800">
        <v>0</v>
      </c>
      <c r="F800" s="1">
        <f t="shared" si="37"/>
        <v>1935.8980804649764</v>
      </c>
    </row>
    <row r="801" spans="1:6" x14ac:dyDescent="0.3">
      <c r="A801" s="3">
        <v>46854</v>
      </c>
      <c r="B801" s="1">
        <f t="shared" si="38"/>
        <v>1935.8980804649764</v>
      </c>
      <c r="C801">
        <f t="shared" si="39"/>
        <v>3.5342465753424658E-4</v>
      </c>
      <c r="D801" s="1">
        <f>B801*Table1[[#This Row],[Дневная ставка]]</f>
        <v>0.68419411610953962</v>
      </c>
      <c r="E801">
        <v>0</v>
      </c>
      <c r="F801" s="1">
        <f t="shared" si="37"/>
        <v>1936.5822745810858</v>
      </c>
    </row>
    <row r="802" spans="1:6" x14ac:dyDescent="0.3">
      <c r="A802" s="3">
        <v>46855</v>
      </c>
      <c r="B802" s="1">
        <f t="shared" si="38"/>
        <v>1936.5822745810858</v>
      </c>
      <c r="C802">
        <f t="shared" si="39"/>
        <v>3.5342465753424658E-4</v>
      </c>
      <c r="D802" s="1">
        <f>B802*Table1[[#This Row],[Дневная ставка]]</f>
        <v>0.68443592718071256</v>
      </c>
      <c r="E802">
        <v>0</v>
      </c>
      <c r="F802" s="1">
        <f t="shared" si="37"/>
        <v>1937.2667105082664</v>
      </c>
    </row>
    <row r="803" spans="1:6" x14ac:dyDescent="0.3">
      <c r="A803" s="3">
        <v>46856</v>
      </c>
      <c r="B803" s="1">
        <f t="shared" si="38"/>
        <v>1937.2667105082664</v>
      </c>
      <c r="C803">
        <f t="shared" si="39"/>
        <v>3.5342465753424658E-4</v>
      </c>
      <c r="D803" s="1">
        <f>B803*Table1[[#This Row],[Дневная ставка]]</f>
        <v>0.68467782371388053</v>
      </c>
      <c r="E803">
        <v>0</v>
      </c>
      <c r="F803" s="1">
        <f t="shared" si="37"/>
        <v>1937.9513883319803</v>
      </c>
    </row>
    <row r="804" spans="1:6" x14ac:dyDescent="0.3">
      <c r="A804" s="3">
        <v>46857</v>
      </c>
      <c r="B804" s="1">
        <f t="shared" si="38"/>
        <v>1937.9513883319803</v>
      </c>
      <c r="C804">
        <f t="shared" si="39"/>
        <v>3.5342465753424658E-4</v>
      </c>
      <c r="D804" s="1">
        <f>B804*Table1[[#This Row],[Дневная ставка]]</f>
        <v>0.68491980573924782</v>
      </c>
      <c r="E804">
        <v>0</v>
      </c>
      <c r="F804" s="1">
        <f t="shared" si="37"/>
        <v>1938.6363081377197</v>
      </c>
    </row>
    <row r="805" spans="1:6" x14ac:dyDescent="0.3">
      <c r="A805" s="3">
        <v>46858</v>
      </c>
      <c r="B805" s="1">
        <f t="shared" si="38"/>
        <v>1938.6363081377197</v>
      </c>
      <c r="C805">
        <f t="shared" si="39"/>
        <v>3.5342465753424658E-4</v>
      </c>
      <c r="D805" s="1">
        <f>B805*Table1[[#This Row],[Дневная ставка]]</f>
        <v>0.68516187328702971</v>
      </c>
      <c r="E805">
        <v>0</v>
      </c>
      <c r="F805" s="1">
        <f t="shared" si="37"/>
        <v>1939.3214700110068</v>
      </c>
    </row>
    <row r="806" spans="1:6" x14ac:dyDescent="0.3">
      <c r="A806" s="3">
        <v>46859</v>
      </c>
      <c r="B806" s="1">
        <f t="shared" si="38"/>
        <v>1939.3214700110068</v>
      </c>
      <c r="C806">
        <f t="shared" si="39"/>
        <v>3.5342465753424658E-4</v>
      </c>
      <c r="D806" s="1">
        <f>B806*Table1[[#This Row],[Дневная ставка]]</f>
        <v>0.68540402638745168</v>
      </c>
      <c r="E806">
        <v>0</v>
      </c>
      <c r="F806" s="1">
        <f t="shared" si="37"/>
        <v>1940.0068740373943</v>
      </c>
    </row>
    <row r="807" spans="1:6" x14ac:dyDescent="0.3">
      <c r="A807" s="3">
        <v>46860</v>
      </c>
      <c r="B807" s="1">
        <f t="shared" si="38"/>
        <v>1940.0068740373943</v>
      </c>
      <c r="C807">
        <f t="shared" si="39"/>
        <v>3.5342465753424658E-4</v>
      </c>
      <c r="D807" s="1">
        <f>B807*Table1[[#This Row],[Дневная ставка]]</f>
        <v>0.68564626507075033</v>
      </c>
      <c r="E807">
        <v>0</v>
      </c>
      <c r="F807" s="1">
        <f t="shared" si="37"/>
        <v>1940.692520302465</v>
      </c>
    </row>
    <row r="808" spans="1:6" x14ac:dyDescent="0.3">
      <c r="A808" s="3">
        <v>46861</v>
      </c>
      <c r="B808" s="1">
        <f t="shared" si="38"/>
        <v>1940.692520302465</v>
      </c>
      <c r="C808">
        <f t="shared" si="39"/>
        <v>3.5342465753424658E-4</v>
      </c>
      <c r="D808" s="1">
        <f>B808*Table1[[#This Row],[Дневная ставка]]</f>
        <v>0.68588858936717256</v>
      </c>
      <c r="E808">
        <v>0</v>
      </c>
      <c r="F808" s="1">
        <f t="shared" si="37"/>
        <v>1941.3784088918321</v>
      </c>
    </row>
    <row r="809" spans="1:6" x14ac:dyDescent="0.3">
      <c r="A809" s="3">
        <v>46862</v>
      </c>
      <c r="B809" s="1">
        <f t="shared" si="38"/>
        <v>1941.3784088918321</v>
      </c>
      <c r="C809">
        <f t="shared" si="39"/>
        <v>3.5342465753424658E-4</v>
      </c>
      <c r="D809" s="1">
        <f>B809*Table1[[#This Row],[Дневная ставка]]</f>
        <v>0.6861309993069763</v>
      </c>
      <c r="E809">
        <v>650.05999999999995</v>
      </c>
      <c r="F809" s="1">
        <f t="shared" si="37"/>
        <v>1292.0045398911391</v>
      </c>
    </row>
    <row r="810" spans="1:6" x14ac:dyDescent="0.3">
      <c r="A810" s="3">
        <v>46863</v>
      </c>
      <c r="B810" s="1">
        <f t="shared" si="38"/>
        <v>1292.0045398911391</v>
      </c>
      <c r="C810">
        <f t="shared" si="39"/>
        <v>3.5342465753424658E-4</v>
      </c>
      <c r="D810" s="1">
        <f>B810*Table1[[#This Row],[Дневная ставка]]</f>
        <v>0.45662626204371765</v>
      </c>
      <c r="E810">
        <v>0</v>
      </c>
      <c r="F810" s="1">
        <f t="shared" si="37"/>
        <v>1292.4611661531828</v>
      </c>
    </row>
    <row r="811" spans="1:6" x14ac:dyDescent="0.3">
      <c r="A811" s="3">
        <v>46864</v>
      </c>
      <c r="B811" s="1">
        <f t="shared" si="38"/>
        <v>1292.4611661531828</v>
      </c>
      <c r="C811">
        <f t="shared" si="39"/>
        <v>3.5342465753424658E-4</v>
      </c>
      <c r="D811" s="1">
        <f>B811*Table1[[#This Row],[Дневная ставка]]</f>
        <v>0.4567876450240016</v>
      </c>
      <c r="E811">
        <v>0</v>
      </c>
      <c r="F811" s="1">
        <f t="shared" si="37"/>
        <v>1292.9179537982068</v>
      </c>
    </row>
    <row r="812" spans="1:6" x14ac:dyDescent="0.3">
      <c r="A812" s="3">
        <v>46865</v>
      </c>
      <c r="B812" s="1">
        <f t="shared" si="38"/>
        <v>1292.9179537982068</v>
      </c>
      <c r="C812">
        <f t="shared" si="39"/>
        <v>3.5342465753424658E-4</v>
      </c>
      <c r="D812" s="1">
        <f>B812*Table1[[#This Row],[Дневная ставка]]</f>
        <v>0.45694908504101006</v>
      </c>
      <c r="E812">
        <v>0</v>
      </c>
      <c r="F812" s="1">
        <f t="shared" si="37"/>
        <v>1293.3749028832478</v>
      </c>
    </row>
    <row r="813" spans="1:6" x14ac:dyDescent="0.3">
      <c r="A813" s="3">
        <v>46866</v>
      </c>
      <c r="B813" s="1">
        <f t="shared" si="38"/>
        <v>1293.3749028832478</v>
      </c>
      <c r="C813">
        <f t="shared" si="39"/>
        <v>3.5342465753424658E-4</v>
      </c>
      <c r="D813" s="1">
        <f>B813*Table1[[#This Row],[Дневная ставка]]</f>
        <v>0.4571105821149013</v>
      </c>
      <c r="E813">
        <v>0</v>
      </c>
      <c r="F813" s="1">
        <f t="shared" si="37"/>
        <v>1293.8320134653627</v>
      </c>
    </row>
    <row r="814" spans="1:6" x14ac:dyDescent="0.3">
      <c r="A814" s="3">
        <v>46867</v>
      </c>
      <c r="B814" s="1">
        <f t="shared" si="38"/>
        <v>1293.8320134653627</v>
      </c>
      <c r="C814">
        <f t="shared" si="39"/>
        <v>3.5342465753424658E-4</v>
      </c>
      <c r="D814" s="1">
        <f>B814*Table1[[#This Row],[Дневная ставка]]</f>
        <v>0.45727213626584051</v>
      </c>
      <c r="E814">
        <v>0</v>
      </c>
      <c r="F814" s="1">
        <f t="shared" si="37"/>
        <v>1294.2892856016285</v>
      </c>
    </row>
    <row r="815" spans="1:6" x14ac:dyDescent="0.3">
      <c r="A815" s="3">
        <v>46868</v>
      </c>
      <c r="B815" s="1">
        <f t="shared" si="38"/>
        <v>1294.2892856016285</v>
      </c>
      <c r="C815">
        <f t="shared" si="39"/>
        <v>3.5342465753424658E-4</v>
      </c>
      <c r="D815" s="1">
        <f>B815*Table1[[#This Row],[Дневная ставка]]</f>
        <v>0.45743374751400023</v>
      </c>
      <c r="E815">
        <v>0</v>
      </c>
      <c r="F815" s="1">
        <f t="shared" si="37"/>
        <v>1294.7467193491425</v>
      </c>
    </row>
    <row r="816" spans="1:6" x14ac:dyDescent="0.3">
      <c r="A816" s="3">
        <v>46869</v>
      </c>
      <c r="B816" s="1">
        <f t="shared" si="38"/>
        <v>1294.7467193491425</v>
      </c>
      <c r="C816">
        <f t="shared" si="39"/>
        <v>3.5342465753424658E-4</v>
      </c>
      <c r="D816" s="1">
        <f>B816*Table1[[#This Row],[Дневная ставка]]</f>
        <v>0.45759541587955999</v>
      </c>
      <c r="E816">
        <v>0</v>
      </c>
      <c r="F816" s="1">
        <f t="shared" si="37"/>
        <v>1295.204314765022</v>
      </c>
    </row>
    <row r="817" spans="1:6" x14ac:dyDescent="0.3">
      <c r="A817" s="3">
        <v>46870</v>
      </c>
      <c r="B817" s="1">
        <f t="shared" si="38"/>
        <v>1295.204314765022</v>
      </c>
      <c r="C817">
        <f t="shared" si="39"/>
        <v>3.5342465753424658E-4</v>
      </c>
      <c r="D817" s="1">
        <f>B817*Table1[[#This Row],[Дневная ставка]]</f>
        <v>0.4577571413827064</v>
      </c>
      <c r="E817">
        <v>0</v>
      </c>
      <c r="F817" s="1">
        <f t="shared" si="37"/>
        <v>1295.6620719064047</v>
      </c>
    </row>
    <row r="818" spans="1:6" x14ac:dyDescent="0.3">
      <c r="A818" s="3">
        <v>46871</v>
      </c>
      <c r="B818" s="1">
        <f t="shared" si="38"/>
        <v>1295.6620719064047</v>
      </c>
      <c r="C818">
        <f t="shared" si="39"/>
        <v>3.5342465753424658E-4</v>
      </c>
      <c r="D818" s="1">
        <f>B818*Table1[[#This Row],[Дневная ставка]]</f>
        <v>0.45791892404363344</v>
      </c>
      <c r="E818">
        <v>0</v>
      </c>
      <c r="F818" s="1">
        <f t="shared" si="37"/>
        <v>1296.1199908304484</v>
      </c>
    </row>
    <row r="819" spans="1:6" x14ac:dyDescent="0.3">
      <c r="A819" s="3">
        <v>46872</v>
      </c>
      <c r="B819" s="1">
        <f t="shared" si="38"/>
        <v>1296.1199908304484</v>
      </c>
      <c r="C819">
        <f t="shared" si="39"/>
        <v>3.5342465753424658E-4</v>
      </c>
      <c r="D819" s="1">
        <f>B819*Table1[[#This Row],[Дневная ставка]]</f>
        <v>0.45808076388254204</v>
      </c>
      <c r="E819">
        <v>0</v>
      </c>
      <c r="F819" s="1">
        <f t="shared" si="37"/>
        <v>1296.5780715943308</v>
      </c>
    </row>
    <row r="820" spans="1:6" x14ac:dyDescent="0.3">
      <c r="A820" s="3">
        <v>46873</v>
      </c>
      <c r="B820" s="1">
        <f t="shared" si="38"/>
        <v>1296.5780715943308</v>
      </c>
      <c r="C820">
        <f t="shared" si="39"/>
        <v>3.5342465753424658E-4</v>
      </c>
      <c r="D820" s="1">
        <f>B820*Table1[[#This Row],[Дневная ставка]]</f>
        <v>0.45824266091964022</v>
      </c>
      <c r="E820">
        <v>0</v>
      </c>
      <c r="F820" s="1">
        <f t="shared" si="37"/>
        <v>1297.0363142552505</v>
      </c>
    </row>
    <row r="821" spans="1:6" x14ac:dyDescent="0.3">
      <c r="A821" s="3">
        <v>46874</v>
      </c>
      <c r="B821" s="1">
        <f t="shared" si="38"/>
        <v>1297.0363142552505</v>
      </c>
      <c r="C821">
        <f t="shared" si="39"/>
        <v>3.5342465753424658E-4</v>
      </c>
      <c r="D821" s="1">
        <f>B821*Table1[[#This Row],[Дневная ставка]]</f>
        <v>0.45840461517514336</v>
      </c>
      <c r="E821">
        <v>0</v>
      </c>
      <c r="F821" s="1">
        <f t="shared" si="37"/>
        <v>1297.4947188704257</v>
      </c>
    </row>
    <row r="822" spans="1:6" x14ac:dyDescent="0.3">
      <c r="A822" s="3">
        <v>46875</v>
      </c>
      <c r="B822" s="1">
        <f t="shared" si="38"/>
        <v>1297.4947188704257</v>
      </c>
      <c r="C822">
        <f t="shared" si="39"/>
        <v>3.5342465753424658E-4</v>
      </c>
      <c r="D822" s="1">
        <f>B822*Table1[[#This Row],[Дневная ставка]]</f>
        <v>0.45856662666927372</v>
      </c>
      <c r="E822">
        <v>0</v>
      </c>
      <c r="F822" s="1">
        <f t="shared" si="37"/>
        <v>1297.9532854970951</v>
      </c>
    </row>
    <row r="823" spans="1:6" x14ac:dyDescent="0.3">
      <c r="A823" s="3">
        <v>46876</v>
      </c>
      <c r="B823" s="1">
        <f t="shared" si="38"/>
        <v>1297.9532854970951</v>
      </c>
      <c r="C823">
        <f t="shared" si="39"/>
        <v>3.5342465753424658E-4</v>
      </c>
      <c r="D823" s="1">
        <f>B823*Table1[[#This Row],[Дневная ставка]]</f>
        <v>0.45872869542226102</v>
      </c>
      <c r="E823">
        <v>0</v>
      </c>
      <c r="F823" s="1">
        <f t="shared" si="37"/>
        <v>1298.4120141925173</v>
      </c>
    </row>
    <row r="824" spans="1:6" x14ac:dyDescent="0.3">
      <c r="A824" s="3">
        <v>46877</v>
      </c>
      <c r="B824" s="1">
        <f t="shared" si="38"/>
        <v>1298.4120141925173</v>
      </c>
      <c r="C824">
        <f t="shared" si="39"/>
        <v>3.5342465753424658E-4</v>
      </c>
      <c r="D824" s="1">
        <f>B824*Table1[[#This Row],[Дневная ставка]]</f>
        <v>0.45889082145434174</v>
      </c>
      <c r="E824">
        <v>0</v>
      </c>
      <c r="F824" s="1">
        <f t="shared" si="37"/>
        <v>1298.8709050139717</v>
      </c>
    </row>
    <row r="825" spans="1:6" x14ac:dyDescent="0.3">
      <c r="A825" s="3">
        <v>46878</v>
      </c>
      <c r="B825" s="1">
        <f t="shared" si="38"/>
        <v>1298.8709050139717</v>
      </c>
      <c r="C825">
        <f t="shared" si="39"/>
        <v>3.5342465753424658E-4</v>
      </c>
      <c r="D825" s="1">
        <f>B825*Table1[[#This Row],[Дневная ставка]]</f>
        <v>0.45905300478575983</v>
      </c>
      <c r="E825">
        <v>0</v>
      </c>
      <c r="F825" s="1">
        <f t="shared" si="37"/>
        <v>1299.3299580187575</v>
      </c>
    </row>
    <row r="826" spans="1:6" x14ac:dyDescent="0.3">
      <c r="A826" s="3">
        <v>46879</v>
      </c>
      <c r="B826" s="1">
        <f t="shared" si="38"/>
        <v>1299.3299580187575</v>
      </c>
      <c r="C826">
        <f t="shared" si="39"/>
        <v>3.5342465753424658E-4</v>
      </c>
      <c r="D826" s="1">
        <f>B826*Table1[[#This Row],[Дневная ставка]]</f>
        <v>0.45921524543676634</v>
      </c>
      <c r="E826">
        <v>0</v>
      </c>
      <c r="F826" s="1">
        <f t="shared" si="37"/>
        <v>1299.7891732641942</v>
      </c>
    </row>
    <row r="827" spans="1:6" x14ac:dyDescent="0.3">
      <c r="A827" s="3">
        <v>46880</v>
      </c>
      <c r="B827" s="1">
        <f t="shared" si="38"/>
        <v>1299.7891732641942</v>
      </c>
      <c r="C827">
        <f t="shared" si="39"/>
        <v>3.5342465753424658E-4</v>
      </c>
      <c r="D827" s="1">
        <f>B827*Table1[[#This Row],[Дневная ставка]]</f>
        <v>0.45937754342761933</v>
      </c>
      <c r="E827">
        <v>0</v>
      </c>
      <c r="F827" s="1">
        <f t="shared" si="37"/>
        <v>1300.2485508076218</v>
      </c>
    </row>
    <row r="828" spans="1:6" x14ac:dyDescent="0.3">
      <c r="A828" s="3">
        <v>46881</v>
      </c>
      <c r="B828" s="1">
        <f t="shared" si="38"/>
        <v>1300.2485508076218</v>
      </c>
      <c r="C828">
        <f t="shared" si="39"/>
        <v>3.5342465753424658E-4</v>
      </c>
      <c r="D828" s="1">
        <f>B828*Table1[[#This Row],[Дневная ставка]]</f>
        <v>0.45953989877858414</v>
      </c>
      <c r="E828">
        <v>0</v>
      </c>
      <c r="F828" s="1">
        <f t="shared" si="37"/>
        <v>1300.7080907064003</v>
      </c>
    </row>
    <row r="829" spans="1:6" x14ac:dyDescent="0.3">
      <c r="A829" s="3">
        <v>46882</v>
      </c>
      <c r="B829" s="1">
        <f t="shared" si="38"/>
        <v>1300.7080907064003</v>
      </c>
      <c r="C829">
        <f t="shared" si="39"/>
        <v>3.5342465753424658E-4</v>
      </c>
      <c r="D829" s="1">
        <f>B829*Table1[[#This Row],[Дневная ставка]]</f>
        <v>0.45970231150993329</v>
      </c>
      <c r="E829">
        <v>0</v>
      </c>
      <c r="F829" s="1">
        <f t="shared" si="37"/>
        <v>1301.1677930179103</v>
      </c>
    </row>
    <row r="830" spans="1:6" x14ac:dyDescent="0.3">
      <c r="A830" s="3">
        <v>46883</v>
      </c>
      <c r="B830" s="1">
        <f t="shared" si="38"/>
        <v>1301.1677930179103</v>
      </c>
      <c r="C830">
        <f t="shared" si="39"/>
        <v>3.5342465753424658E-4</v>
      </c>
      <c r="D830" s="1">
        <f>B830*Table1[[#This Row],[Дневная ставка]]</f>
        <v>0.45986478164194639</v>
      </c>
      <c r="E830">
        <v>0</v>
      </c>
      <c r="F830" s="1">
        <f t="shared" si="37"/>
        <v>1301.6276577995523</v>
      </c>
    </row>
    <row r="831" spans="1:6" x14ac:dyDescent="0.3">
      <c r="A831" s="3">
        <v>46884</v>
      </c>
      <c r="B831" s="1">
        <f t="shared" si="38"/>
        <v>1301.6276577995523</v>
      </c>
      <c r="C831">
        <f t="shared" si="39"/>
        <v>3.5342465753424658E-4</v>
      </c>
      <c r="D831" s="1">
        <f>B831*Table1[[#This Row],[Дневная ставка]]</f>
        <v>0.46002730919491025</v>
      </c>
      <c r="E831">
        <v>0</v>
      </c>
      <c r="F831" s="1">
        <f t="shared" si="37"/>
        <v>1302.0876851087471</v>
      </c>
    </row>
    <row r="832" spans="1:6" x14ac:dyDescent="0.3">
      <c r="A832" s="3">
        <v>46885</v>
      </c>
      <c r="B832" s="1">
        <f t="shared" si="38"/>
        <v>1302.0876851087471</v>
      </c>
      <c r="C832">
        <f t="shared" si="39"/>
        <v>3.5342465753424658E-4</v>
      </c>
      <c r="D832" s="1">
        <f>B832*Table1[[#This Row],[Дневная ставка]]</f>
        <v>0.46018989418911888</v>
      </c>
      <c r="E832">
        <v>0</v>
      </c>
      <c r="F832" s="1">
        <f t="shared" si="37"/>
        <v>1302.5478750029363</v>
      </c>
    </row>
    <row r="833" spans="1:6" x14ac:dyDescent="0.3">
      <c r="A833" s="3">
        <v>46886</v>
      </c>
      <c r="B833" s="1">
        <f t="shared" si="38"/>
        <v>1302.5478750029363</v>
      </c>
      <c r="C833">
        <f t="shared" si="39"/>
        <v>3.5342465753424658E-4</v>
      </c>
      <c r="D833" s="1">
        <f>B833*Table1[[#This Row],[Дневная ставка]]</f>
        <v>0.46035253664487336</v>
      </c>
      <c r="E833">
        <v>0</v>
      </c>
      <c r="F833" s="1">
        <f t="shared" si="37"/>
        <v>1303.0082275395812</v>
      </c>
    </row>
    <row r="834" spans="1:6" x14ac:dyDescent="0.3">
      <c r="A834" s="3">
        <v>46887</v>
      </c>
      <c r="B834" s="1">
        <f t="shared" si="38"/>
        <v>1303.0082275395812</v>
      </c>
      <c r="C834">
        <f t="shared" si="39"/>
        <v>3.5342465753424658E-4</v>
      </c>
      <c r="D834" s="1">
        <f>B834*Table1[[#This Row],[Дневная ставка]]</f>
        <v>0.46051523658248211</v>
      </c>
      <c r="E834">
        <v>0</v>
      </c>
      <c r="F834" s="1">
        <f t="shared" si="37"/>
        <v>1303.4687427761637</v>
      </c>
    </row>
    <row r="835" spans="1:6" x14ac:dyDescent="0.3">
      <c r="A835" s="3">
        <v>46888</v>
      </c>
      <c r="B835" s="1">
        <f t="shared" si="38"/>
        <v>1303.4687427761637</v>
      </c>
      <c r="C835">
        <f t="shared" si="39"/>
        <v>3.5342465753424658E-4</v>
      </c>
      <c r="D835" s="1">
        <f>B835*Table1[[#This Row],[Дневная ставка]]</f>
        <v>0.46067799402226062</v>
      </c>
      <c r="E835">
        <v>0</v>
      </c>
      <c r="F835" s="1">
        <f t="shared" ref="F835:F870" si="40">B835+D835-E835</f>
        <v>1303.929420770186</v>
      </c>
    </row>
    <row r="836" spans="1:6" x14ac:dyDescent="0.3">
      <c r="A836" s="3">
        <v>46889</v>
      </c>
      <c r="B836" s="1">
        <f t="shared" ref="B836:B870" si="41">F835</f>
        <v>1303.929420770186</v>
      </c>
      <c r="C836">
        <f t="shared" si="39"/>
        <v>3.5342465753424658E-4</v>
      </c>
      <c r="D836" s="1">
        <f>B836*Table1[[#This Row],[Дневная ставка]]</f>
        <v>0.4608408089845315</v>
      </c>
      <c r="E836">
        <v>0</v>
      </c>
      <c r="F836" s="1">
        <f t="shared" si="40"/>
        <v>1304.3902615791706</v>
      </c>
    </row>
    <row r="837" spans="1:6" x14ac:dyDescent="0.3">
      <c r="A837" s="3">
        <v>46890</v>
      </c>
      <c r="B837" s="1">
        <f t="shared" si="41"/>
        <v>1304.3902615791706</v>
      </c>
      <c r="C837">
        <f t="shared" si="39"/>
        <v>3.5342465753424658E-4</v>
      </c>
      <c r="D837" s="1">
        <f>B837*Table1[[#This Row],[Дневная ставка]]</f>
        <v>0.46100368148962467</v>
      </c>
      <c r="E837">
        <v>0</v>
      </c>
      <c r="F837" s="1">
        <f t="shared" si="40"/>
        <v>1304.8512652606603</v>
      </c>
    </row>
    <row r="838" spans="1:6" x14ac:dyDescent="0.3">
      <c r="A838" s="3">
        <v>46891</v>
      </c>
      <c r="B838" s="1">
        <f t="shared" si="41"/>
        <v>1304.8512652606603</v>
      </c>
      <c r="C838">
        <f t="shared" si="39"/>
        <v>3.5342465753424658E-4</v>
      </c>
      <c r="D838" s="1">
        <f>B838*Table1[[#This Row],[Дневная ставка]]</f>
        <v>0.46116661155787719</v>
      </c>
      <c r="E838">
        <v>0</v>
      </c>
      <c r="F838" s="1">
        <f t="shared" si="40"/>
        <v>1305.3124318722182</v>
      </c>
    </row>
    <row r="839" spans="1:6" x14ac:dyDescent="0.3">
      <c r="A839" s="3">
        <v>46892</v>
      </c>
      <c r="B839" s="1">
        <f t="shared" si="41"/>
        <v>1305.3124318722182</v>
      </c>
      <c r="C839">
        <f t="shared" si="39"/>
        <v>3.5342465753424658E-4</v>
      </c>
      <c r="D839" s="1">
        <f>B839*Table1[[#This Row],[Дневная ставка]]</f>
        <v>0.46132959920963329</v>
      </c>
      <c r="E839">
        <v>650.05999999999995</v>
      </c>
      <c r="F839" s="1">
        <f t="shared" si="40"/>
        <v>655.71376147142792</v>
      </c>
    </row>
    <row r="840" spans="1:6" x14ac:dyDescent="0.3">
      <c r="A840" s="3">
        <v>46893</v>
      </c>
      <c r="B840" s="1">
        <f t="shared" si="41"/>
        <v>655.71376147142792</v>
      </c>
      <c r="C840">
        <f t="shared" si="39"/>
        <v>3.5342465753424658E-4</v>
      </c>
      <c r="D840" s="1">
        <f>B840*Table1[[#This Row],[Дневная ставка]]</f>
        <v>0.23174541158853207</v>
      </c>
      <c r="E840">
        <v>0</v>
      </c>
      <c r="F840" s="1">
        <f t="shared" si="40"/>
        <v>655.94550688301649</v>
      </c>
    </row>
    <row r="841" spans="1:6" x14ac:dyDescent="0.3">
      <c r="A841" s="3">
        <v>46894</v>
      </c>
      <c r="B841" s="1">
        <f t="shared" si="41"/>
        <v>655.94550688301649</v>
      </c>
      <c r="C841">
        <f t="shared" si="39"/>
        <v>3.5342465753424658E-4</v>
      </c>
      <c r="D841" s="1">
        <f>B841*Table1[[#This Row],[Дневная ставка]]</f>
        <v>0.2318273161312579</v>
      </c>
      <c r="E841">
        <v>0</v>
      </c>
      <c r="F841" s="1">
        <f t="shared" si="40"/>
        <v>656.17733419914771</v>
      </c>
    </row>
    <row r="842" spans="1:6" x14ac:dyDescent="0.3">
      <c r="A842" s="3">
        <v>46895</v>
      </c>
      <c r="B842" s="1">
        <f t="shared" si="41"/>
        <v>656.17733419914771</v>
      </c>
      <c r="C842">
        <f t="shared" si="39"/>
        <v>3.5342465753424658E-4</v>
      </c>
      <c r="D842" s="1">
        <f>B842*Table1[[#This Row],[Дневная ставка]]</f>
        <v>0.23190924962106865</v>
      </c>
      <c r="E842">
        <v>0</v>
      </c>
      <c r="F842" s="1">
        <f t="shared" si="40"/>
        <v>656.40924344876873</v>
      </c>
    </row>
    <row r="843" spans="1:6" x14ac:dyDescent="0.3">
      <c r="A843" s="3">
        <v>46896</v>
      </c>
      <c r="B843" s="1">
        <f t="shared" si="41"/>
        <v>656.40924344876873</v>
      </c>
      <c r="C843">
        <f t="shared" si="39"/>
        <v>3.5342465753424658E-4</v>
      </c>
      <c r="D843" s="1">
        <f>B843*Table1[[#This Row],[Дневная ставка]]</f>
        <v>0.23199121206819498</v>
      </c>
      <c r="E843">
        <v>0</v>
      </c>
      <c r="F843" s="1">
        <f t="shared" si="40"/>
        <v>656.64123466083697</v>
      </c>
    </row>
    <row r="844" spans="1:6" x14ac:dyDescent="0.3">
      <c r="A844" s="3">
        <v>46897</v>
      </c>
      <c r="B844" s="1">
        <f t="shared" si="41"/>
        <v>656.64123466083697</v>
      </c>
      <c r="C844">
        <f t="shared" si="39"/>
        <v>3.5342465753424658E-4</v>
      </c>
      <c r="D844" s="1">
        <f>B844*Table1[[#This Row],[Дневная ставка]]</f>
        <v>0.23207320348287117</v>
      </c>
      <c r="E844">
        <v>0</v>
      </c>
      <c r="F844" s="1">
        <f t="shared" si="40"/>
        <v>656.87330786431983</v>
      </c>
    </row>
    <row r="845" spans="1:6" x14ac:dyDescent="0.3">
      <c r="A845" s="3">
        <v>46898</v>
      </c>
      <c r="B845" s="1">
        <f t="shared" si="41"/>
        <v>656.87330786431983</v>
      </c>
      <c r="C845">
        <f t="shared" si="39"/>
        <v>3.5342465753424658E-4</v>
      </c>
      <c r="D845" s="1">
        <f>B845*Table1[[#This Row],[Дневная ставка]]</f>
        <v>0.23215522387533497</v>
      </c>
      <c r="E845">
        <v>0</v>
      </c>
      <c r="F845" s="1">
        <f t="shared" si="40"/>
        <v>657.10546308819517</v>
      </c>
    </row>
    <row r="846" spans="1:6" x14ac:dyDescent="0.3">
      <c r="A846" s="3">
        <v>46899</v>
      </c>
      <c r="B846" s="1">
        <f t="shared" si="41"/>
        <v>657.10546308819517</v>
      </c>
      <c r="C846">
        <f t="shared" si="39"/>
        <v>3.5342465753424658E-4</v>
      </c>
      <c r="D846" s="1">
        <f>B846*Table1[[#This Row],[Дневная ставка]]</f>
        <v>0.23223727325582788</v>
      </c>
      <c r="E846">
        <v>0</v>
      </c>
      <c r="F846" s="1">
        <f t="shared" si="40"/>
        <v>657.33770036145097</v>
      </c>
    </row>
    <row r="847" spans="1:6" x14ac:dyDescent="0.3">
      <c r="A847" s="3">
        <v>46900</v>
      </c>
      <c r="B847" s="1">
        <f t="shared" si="41"/>
        <v>657.33770036145097</v>
      </c>
      <c r="C847">
        <f t="shared" si="39"/>
        <v>3.5342465753424658E-4</v>
      </c>
      <c r="D847" s="1">
        <f>B847*Table1[[#This Row],[Дневная ставка]]</f>
        <v>0.23231935163459499</v>
      </c>
      <c r="E847">
        <v>0</v>
      </c>
      <c r="F847" s="1">
        <f t="shared" si="40"/>
        <v>657.57001971308557</v>
      </c>
    </row>
    <row r="848" spans="1:6" x14ac:dyDescent="0.3">
      <c r="A848" s="3">
        <v>46901</v>
      </c>
      <c r="B848" s="1">
        <f t="shared" si="41"/>
        <v>657.57001971308557</v>
      </c>
      <c r="C848">
        <f t="shared" si="39"/>
        <v>3.5342465753424658E-4</v>
      </c>
      <c r="D848" s="1">
        <f>B848*Table1[[#This Row],[Дневная ставка]]</f>
        <v>0.23240145902188505</v>
      </c>
      <c r="E848">
        <v>0</v>
      </c>
      <c r="F848" s="1">
        <f t="shared" si="40"/>
        <v>657.80242117210742</v>
      </c>
    </row>
    <row r="849" spans="1:6" x14ac:dyDescent="0.3">
      <c r="A849" s="3">
        <v>46902</v>
      </c>
      <c r="B849" s="1">
        <f t="shared" si="41"/>
        <v>657.80242117210742</v>
      </c>
      <c r="C849">
        <f t="shared" si="39"/>
        <v>3.5342465753424658E-4</v>
      </c>
      <c r="D849" s="1">
        <f>B849*Table1[[#This Row],[Дневная ставка]]</f>
        <v>0.2324835954279503</v>
      </c>
      <c r="E849">
        <v>0</v>
      </c>
      <c r="F849" s="1">
        <f t="shared" si="40"/>
        <v>658.03490476753541</v>
      </c>
    </row>
    <row r="850" spans="1:6" x14ac:dyDescent="0.3">
      <c r="A850" s="3">
        <v>46903</v>
      </c>
      <c r="B850" s="1">
        <f t="shared" si="41"/>
        <v>658.03490476753541</v>
      </c>
      <c r="C850">
        <f t="shared" si="39"/>
        <v>3.5342465753424658E-4</v>
      </c>
      <c r="D850" s="1">
        <f>B850*Table1[[#This Row],[Дневная ставка]]</f>
        <v>0.23256576086304676</v>
      </c>
      <c r="E850">
        <v>0</v>
      </c>
      <c r="F850" s="1">
        <f t="shared" si="40"/>
        <v>658.26747052839846</v>
      </c>
    </row>
    <row r="851" spans="1:6" x14ac:dyDescent="0.3">
      <c r="A851" s="3">
        <v>46904</v>
      </c>
      <c r="B851" s="1">
        <f t="shared" si="41"/>
        <v>658.26747052839846</v>
      </c>
      <c r="C851">
        <f t="shared" si="39"/>
        <v>3.5342465753424658E-4</v>
      </c>
      <c r="D851" s="1">
        <f>B851*Table1[[#This Row],[Дневная ставка]]</f>
        <v>0.23264795533743399</v>
      </c>
      <c r="E851">
        <v>0</v>
      </c>
      <c r="F851" s="1">
        <f t="shared" si="40"/>
        <v>658.50011848373595</v>
      </c>
    </row>
    <row r="852" spans="1:6" x14ac:dyDescent="0.3">
      <c r="A852" s="3">
        <v>46905</v>
      </c>
      <c r="B852" s="1">
        <f t="shared" si="41"/>
        <v>658.50011848373595</v>
      </c>
      <c r="C852">
        <f t="shared" ref="C852:C870" si="42">(12.9%/365)</f>
        <v>3.5342465753424658E-4</v>
      </c>
      <c r="D852" s="1">
        <f>B852*Table1[[#This Row],[Дневная ставка]]</f>
        <v>0.23273017886137518</v>
      </c>
      <c r="E852">
        <v>0</v>
      </c>
      <c r="F852" s="1">
        <f t="shared" si="40"/>
        <v>658.73284866259735</v>
      </c>
    </row>
    <row r="853" spans="1:6" x14ac:dyDescent="0.3">
      <c r="A853" s="3">
        <v>46906</v>
      </c>
      <c r="B853" s="1">
        <f t="shared" si="41"/>
        <v>658.73284866259735</v>
      </c>
      <c r="C853">
        <f t="shared" si="42"/>
        <v>3.5342465753424658E-4</v>
      </c>
      <c r="D853" s="1">
        <f>B853*Table1[[#This Row],[Дневная ставка]]</f>
        <v>0.23281243144513716</v>
      </c>
      <c r="E853">
        <v>0</v>
      </c>
      <c r="F853" s="1">
        <f t="shared" si="40"/>
        <v>658.9656610940425</v>
      </c>
    </row>
    <row r="854" spans="1:6" x14ac:dyDescent="0.3">
      <c r="A854" s="3">
        <v>46907</v>
      </c>
      <c r="B854" s="1">
        <f t="shared" si="41"/>
        <v>658.9656610940425</v>
      </c>
      <c r="C854">
        <f t="shared" si="42"/>
        <v>3.5342465753424658E-4</v>
      </c>
      <c r="D854" s="1">
        <f>B854*Table1[[#This Row],[Дневная ставка]]</f>
        <v>0.23289471309899037</v>
      </c>
      <c r="E854">
        <v>0</v>
      </c>
      <c r="F854" s="1">
        <f t="shared" si="40"/>
        <v>659.19855580714147</v>
      </c>
    </row>
    <row r="855" spans="1:6" x14ac:dyDescent="0.3">
      <c r="A855" s="3">
        <v>46908</v>
      </c>
      <c r="B855" s="1">
        <f t="shared" si="41"/>
        <v>659.19855580714147</v>
      </c>
      <c r="C855">
        <f t="shared" si="42"/>
        <v>3.5342465753424658E-4</v>
      </c>
      <c r="D855" s="1">
        <f>B855*Table1[[#This Row],[Дневная ставка]]</f>
        <v>0.23297702383320892</v>
      </c>
      <c r="E855">
        <v>0</v>
      </c>
      <c r="F855" s="1">
        <f t="shared" si="40"/>
        <v>659.43153283097467</v>
      </c>
    </row>
    <row r="856" spans="1:6" x14ac:dyDescent="0.3">
      <c r="A856" s="3">
        <v>46909</v>
      </c>
      <c r="B856" s="1">
        <f t="shared" si="41"/>
        <v>659.43153283097467</v>
      </c>
      <c r="C856">
        <f t="shared" si="42"/>
        <v>3.5342465753424658E-4</v>
      </c>
      <c r="D856" s="1">
        <f>B856*Table1[[#This Row],[Дневная ставка]]</f>
        <v>0.23305936365807051</v>
      </c>
      <c r="E856">
        <v>0</v>
      </c>
      <c r="F856" s="1">
        <f t="shared" si="40"/>
        <v>659.66459219463275</v>
      </c>
    </row>
    <row r="857" spans="1:6" x14ac:dyDescent="0.3">
      <c r="A857" s="3">
        <v>46910</v>
      </c>
      <c r="B857" s="1">
        <f t="shared" si="41"/>
        <v>659.66459219463275</v>
      </c>
      <c r="C857">
        <f t="shared" si="42"/>
        <v>3.5342465753424658E-4</v>
      </c>
      <c r="D857" s="1">
        <f>B857*Table1[[#This Row],[Дневная ставка]]</f>
        <v>0.23314173258385651</v>
      </c>
      <c r="E857">
        <v>0</v>
      </c>
      <c r="F857" s="1">
        <f t="shared" si="40"/>
        <v>659.89773392721656</v>
      </c>
    </row>
    <row r="858" spans="1:6" x14ac:dyDescent="0.3">
      <c r="A858" s="3">
        <v>46911</v>
      </c>
      <c r="B858" s="1">
        <f t="shared" si="41"/>
        <v>659.89773392721656</v>
      </c>
      <c r="C858">
        <f t="shared" si="42"/>
        <v>3.5342465753424658E-4</v>
      </c>
      <c r="D858" s="1">
        <f>B858*Table1[[#This Row],[Дневная ставка]]</f>
        <v>0.2332241306208519</v>
      </c>
      <c r="E858">
        <v>0</v>
      </c>
      <c r="F858" s="1">
        <f t="shared" si="40"/>
        <v>660.13095805783746</v>
      </c>
    </row>
    <row r="859" spans="1:6" x14ac:dyDescent="0.3">
      <c r="A859" s="3">
        <v>46912</v>
      </c>
      <c r="B859" s="1">
        <f t="shared" si="41"/>
        <v>660.13095805783746</v>
      </c>
      <c r="C859">
        <f t="shared" si="42"/>
        <v>3.5342465753424658E-4</v>
      </c>
      <c r="D859" s="1">
        <f>B859*Table1[[#This Row],[Дневная ставка]]</f>
        <v>0.23330655777934531</v>
      </c>
      <c r="E859">
        <v>0</v>
      </c>
      <c r="F859" s="1">
        <f t="shared" si="40"/>
        <v>660.36426461561678</v>
      </c>
    </row>
    <row r="860" spans="1:6" x14ac:dyDescent="0.3">
      <c r="A860" s="3">
        <v>46913</v>
      </c>
      <c r="B860" s="1">
        <f t="shared" si="41"/>
        <v>660.36426461561678</v>
      </c>
      <c r="C860">
        <f t="shared" si="42"/>
        <v>3.5342465753424658E-4</v>
      </c>
      <c r="D860" s="1">
        <f>B860*Table1[[#This Row],[Дневная ставка]]</f>
        <v>0.23338901406962895</v>
      </c>
      <c r="E860">
        <v>0</v>
      </c>
      <c r="F860" s="1">
        <f t="shared" si="40"/>
        <v>660.59765362968642</v>
      </c>
    </row>
    <row r="861" spans="1:6" x14ac:dyDescent="0.3">
      <c r="A861" s="3">
        <v>46914</v>
      </c>
      <c r="B861" s="1">
        <f t="shared" si="41"/>
        <v>660.59765362968642</v>
      </c>
      <c r="C861">
        <f t="shared" si="42"/>
        <v>3.5342465753424658E-4</v>
      </c>
      <c r="D861" s="1">
        <f>B861*Table1[[#This Row],[Дневная ставка]]</f>
        <v>0.23347149950199877</v>
      </c>
      <c r="E861">
        <v>0</v>
      </c>
      <c r="F861" s="1">
        <f t="shared" si="40"/>
        <v>660.83112512918842</v>
      </c>
    </row>
    <row r="862" spans="1:6" x14ac:dyDescent="0.3">
      <c r="A862" s="3">
        <v>46915</v>
      </c>
      <c r="B862" s="1">
        <f t="shared" si="41"/>
        <v>660.83112512918842</v>
      </c>
      <c r="C862">
        <f t="shared" si="42"/>
        <v>3.5342465753424658E-4</v>
      </c>
      <c r="D862" s="1">
        <f>B862*Table1[[#This Row],[Дневная ставка]]</f>
        <v>0.23355401408675427</v>
      </c>
      <c r="E862">
        <v>0</v>
      </c>
      <c r="F862" s="1">
        <f t="shared" si="40"/>
        <v>661.06467914327516</v>
      </c>
    </row>
    <row r="863" spans="1:6" x14ac:dyDescent="0.3">
      <c r="A863" s="3">
        <v>46916</v>
      </c>
      <c r="B863" s="1">
        <f t="shared" si="41"/>
        <v>661.06467914327516</v>
      </c>
      <c r="C863">
        <f t="shared" si="42"/>
        <v>3.5342465753424658E-4</v>
      </c>
      <c r="D863" s="1">
        <f>B863*Table1[[#This Row],[Дневная ставка]]</f>
        <v>0.23363655783419862</v>
      </c>
      <c r="E863">
        <v>0</v>
      </c>
      <c r="F863" s="1">
        <f t="shared" si="40"/>
        <v>661.29831570110935</v>
      </c>
    </row>
    <row r="864" spans="1:6" x14ac:dyDescent="0.3">
      <c r="A864" s="3">
        <v>46917</v>
      </c>
      <c r="B864" s="1">
        <f t="shared" si="41"/>
        <v>661.29831570110935</v>
      </c>
      <c r="C864">
        <f t="shared" si="42"/>
        <v>3.5342465753424658E-4</v>
      </c>
      <c r="D864" s="1">
        <f>B864*Table1[[#This Row],[Дневная ставка]]</f>
        <v>0.23371913075463865</v>
      </c>
      <c r="E864">
        <v>0</v>
      </c>
      <c r="F864" s="1">
        <f t="shared" si="40"/>
        <v>661.53203483186394</v>
      </c>
    </row>
    <row r="865" spans="1:6" x14ac:dyDescent="0.3">
      <c r="A865" s="3">
        <v>46918</v>
      </c>
      <c r="B865" s="1">
        <f t="shared" si="41"/>
        <v>661.53203483186394</v>
      </c>
      <c r="C865">
        <f t="shared" si="42"/>
        <v>3.5342465753424658E-4</v>
      </c>
      <c r="D865" s="1">
        <f>B865*Table1[[#This Row],[Дневная ставка]]</f>
        <v>0.23380173285838479</v>
      </c>
      <c r="E865">
        <v>0</v>
      </c>
      <c r="F865" s="1">
        <f t="shared" si="40"/>
        <v>661.76583656472235</v>
      </c>
    </row>
    <row r="866" spans="1:6" x14ac:dyDescent="0.3">
      <c r="A866" s="3">
        <v>46919</v>
      </c>
      <c r="B866" s="1">
        <f t="shared" si="41"/>
        <v>661.76583656472235</v>
      </c>
      <c r="C866">
        <f t="shared" si="42"/>
        <v>3.5342465753424658E-4</v>
      </c>
      <c r="D866" s="1">
        <f>B866*Table1[[#This Row],[Дневная ставка]]</f>
        <v>0.2338843641557512</v>
      </c>
      <c r="E866">
        <v>0</v>
      </c>
      <c r="F866" s="1">
        <f t="shared" si="40"/>
        <v>661.99972092887811</v>
      </c>
    </row>
    <row r="867" spans="1:6" x14ac:dyDescent="0.3">
      <c r="A867" s="3">
        <v>46920</v>
      </c>
      <c r="B867" s="1">
        <f t="shared" si="41"/>
        <v>661.99972092887811</v>
      </c>
      <c r="C867">
        <f t="shared" si="42"/>
        <v>3.5342465753424658E-4</v>
      </c>
      <c r="D867" s="1">
        <f>B867*Table1[[#This Row],[Дневная ставка]]</f>
        <v>0.23396702465705554</v>
      </c>
      <c r="E867">
        <v>0</v>
      </c>
      <c r="F867" s="1">
        <f t="shared" si="40"/>
        <v>662.2336879535352</v>
      </c>
    </row>
    <row r="868" spans="1:6" x14ac:dyDescent="0.3">
      <c r="A868" s="3">
        <v>46921</v>
      </c>
      <c r="B868" s="1">
        <f t="shared" si="41"/>
        <v>662.2336879535352</v>
      </c>
      <c r="C868">
        <f t="shared" si="42"/>
        <v>3.5342465753424658E-4</v>
      </c>
      <c r="D868" s="1">
        <f>B868*Table1[[#This Row],[Дневная ставка]]</f>
        <v>0.23404971437261929</v>
      </c>
      <c r="E868">
        <v>0</v>
      </c>
      <c r="F868" s="1">
        <f t="shared" si="40"/>
        <v>662.46773766790784</v>
      </c>
    </row>
    <row r="869" spans="1:6" x14ac:dyDescent="0.3">
      <c r="A869" s="3">
        <v>46922</v>
      </c>
      <c r="B869" s="1">
        <f t="shared" si="41"/>
        <v>662.46773766790784</v>
      </c>
      <c r="C869">
        <f t="shared" si="42"/>
        <v>3.5342465753424658E-4</v>
      </c>
      <c r="D869" s="1">
        <f>B869*Table1[[#This Row],[Дневная ставка]]</f>
        <v>0.23413243331276742</v>
      </c>
      <c r="E869">
        <v>0</v>
      </c>
      <c r="F869" s="1">
        <f t="shared" si="40"/>
        <v>662.70187010122061</v>
      </c>
    </row>
    <row r="870" spans="1:6" x14ac:dyDescent="0.3">
      <c r="A870" s="3">
        <v>46923</v>
      </c>
      <c r="B870" s="1">
        <f t="shared" si="41"/>
        <v>662.70187010122061</v>
      </c>
      <c r="C870">
        <f t="shared" si="42"/>
        <v>3.5342465753424658E-4</v>
      </c>
      <c r="D870" s="1">
        <f>B870*Table1[[#This Row],[Дневная ставка]]</f>
        <v>0.23421518148782866</v>
      </c>
      <c r="E870">
        <v>650.05999999999995</v>
      </c>
      <c r="F870" s="1">
        <f t="shared" si="40"/>
        <v>12.876085282708459</v>
      </c>
    </row>
    <row r="871" spans="1:6" x14ac:dyDescent="0.3">
      <c r="A871" s="3"/>
      <c r="B871" s="1"/>
      <c r="D871" s="1"/>
      <c r="F871" s="1"/>
    </row>
    <row r="872" spans="1:6" x14ac:dyDescent="0.3">
      <c r="A872" s="3"/>
      <c r="B872" s="1"/>
      <c r="D872" s="1"/>
      <c r="F872" s="1"/>
    </row>
    <row r="873" spans="1:6" x14ac:dyDescent="0.3">
      <c r="A873" s="3"/>
      <c r="B873" s="1"/>
      <c r="D873" s="1"/>
      <c r="F873" s="1"/>
    </row>
    <row r="874" spans="1:6" x14ac:dyDescent="0.3">
      <c r="A874" s="3"/>
      <c r="B874" s="1"/>
      <c r="D874" s="1"/>
      <c r="F874" s="1"/>
    </row>
    <row r="875" spans="1:6" x14ac:dyDescent="0.3">
      <c r="A875" s="3"/>
      <c r="B875" s="1"/>
      <c r="D875" s="1"/>
      <c r="F875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BAE1C-59F4-4BF5-9582-3C725D2A23B0}">
  <dimension ref="A1:F12"/>
  <sheetViews>
    <sheetView workbookViewId="0">
      <selection activeCell="F19" sqref="F19"/>
    </sheetView>
  </sheetViews>
  <sheetFormatPr defaultRowHeight="14.4" x14ac:dyDescent="0.3"/>
  <cols>
    <col min="1" max="1" width="11.21875" bestFit="1" customWidth="1"/>
    <col min="2" max="2" width="9" bestFit="1" customWidth="1"/>
    <col min="3" max="3" width="9.109375" customWidth="1"/>
    <col min="4" max="4" width="16.88671875" customWidth="1"/>
    <col min="5" max="5" width="18.77734375" customWidth="1"/>
    <col min="6" max="6" width="27.21875" bestFit="1" customWidth="1"/>
  </cols>
  <sheetData>
    <row r="1" spans="1:6" x14ac:dyDescent="0.3">
      <c r="A1" t="s">
        <v>8</v>
      </c>
      <c r="B1" t="s">
        <v>3</v>
      </c>
      <c r="C1" t="s">
        <v>47</v>
      </c>
      <c r="D1" t="s">
        <v>48</v>
      </c>
      <c r="E1" t="s">
        <v>49</v>
      </c>
      <c r="F1" t="s">
        <v>50</v>
      </c>
    </row>
    <row r="2" spans="1:6" x14ac:dyDescent="0.3">
      <c r="A2" t="s">
        <v>29</v>
      </c>
      <c r="B2">
        <v>2054</v>
      </c>
      <c r="C2">
        <v>0</v>
      </c>
      <c r="D2">
        <v>0</v>
      </c>
      <c r="E2">
        <f>B2-C2</f>
        <v>2054</v>
      </c>
      <c r="F2">
        <f>Table4[[#This Row],[Сумма]]-Table4[[#This Row],[Оплата по банку]]</f>
        <v>2054</v>
      </c>
    </row>
    <row r="3" spans="1:6" x14ac:dyDescent="0.3">
      <c r="A3" t="s">
        <v>12</v>
      </c>
      <c r="B3">
        <f>E2</f>
        <v>2054</v>
      </c>
      <c r="C3">
        <v>200</v>
      </c>
      <c r="D3" s="1">
        <f>2054/27</f>
        <v>76.074074074074076</v>
      </c>
      <c r="E3">
        <f t="shared" ref="E3:E12" si="0">B3-C3</f>
        <v>1854</v>
      </c>
      <c r="F3" s="1">
        <f>Table4[[#This Row],[Сумма]]-Table4[[#This Row],[Оплата по банку]]</f>
        <v>1977.9259259259259</v>
      </c>
    </row>
    <row r="4" spans="1:6" x14ac:dyDescent="0.3">
      <c r="A4" t="s">
        <v>13</v>
      </c>
      <c r="B4">
        <f t="shared" ref="B4:B12" si="1">E3</f>
        <v>1854</v>
      </c>
      <c r="C4">
        <v>200</v>
      </c>
      <c r="D4" s="1">
        <f t="shared" ref="D4:D12" si="2">2054/27</f>
        <v>76.074074074074076</v>
      </c>
      <c r="E4">
        <f t="shared" si="0"/>
        <v>1654</v>
      </c>
      <c r="F4" s="1">
        <f>Table4[[#This Row],[Сумма]]-Table4[[#This Row],[Оплата по банку]]</f>
        <v>1777.9259259259259</v>
      </c>
    </row>
    <row r="5" spans="1:6" x14ac:dyDescent="0.3">
      <c r="A5" t="s">
        <v>14</v>
      </c>
      <c r="B5">
        <f t="shared" si="1"/>
        <v>1654</v>
      </c>
      <c r="C5">
        <v>200</v>
      </c>
      <c r="D5" s="1">
        <f t="shared" si="2"/>
        <v>76.074074074074076</v>
      </c>
      <c r="E5">
        <f t="shared" si="0"/>
        <v>1454</v>
      </c>
      <c r="F5" s="1">
        <f>Table4[[#This Row],[Сумма]]-Table4[[#This Row],[Оплата по банку]]</f>
        <v>1577.9259259259259</v>
      </c>
    </row>
    <row r="6" spans="1:6" x14ac:dyDescent="0.3">
      <c r="A6" t="s">
        <v>15</v>
      </c>
      <c r="B6">
        <f t="shared" si="1"/>
        <v>1454</v>
      </c>
      <c r="C6">
        <v>200</v>
      </c>
      <c r="D6" s="1">
        <f t="shared" si="2"/>
        <v>76.074074074074076</v>
      </c>
      <c r="E6">
        <f t="shared" si="0"/>
        <v>1254</v>
      </c>
      <c r="F6" s="1">
        <f>Table4[[#This Row],[Сумма]]-Table4[[#This Row],[Оплата по банку]]</f>
        <v>1377.9259259259259</v>
      </c>
    </row>
    <row r="7" spans="1:6" x14ac:dyDescent="0.3">
      <c r="A7" t="s">
        <v>16</v>
      </c>
      <c r="B7">
        <f t="shared" si="1"/>
        <v>1254</v>
      </c>
      <c r="C7">
        <v>200</v>
      </c>
      <c r="D7" s="1">
        <f t="shared" si="2"/>
        <v>76.074074074074076</v>
      </c>
      <c r="E7">
        <f t="shared" si="0"/>
        <v>1054</v>
      </c>
      <c r="F7" s="1">
        <f>Table4[[#This Row],[Сумма]]-Table4[[#This Row],[Оплата по банку]]</f>
        <v>1177.9259259259259</v>
      </c>
    </row>
    <row r="8" spans="1:6" x14ac:dyDescent="0.3">
      <c r="A8" t="s">
        <v>17</v>
      </c>
      <c r="B8">
        <f t="shared" si="1"/>
        <v>1054</v>
      </c>
      <c r="C8">
        <v>200</v>
      </c>
      <c r="D8" s="1">
        <f t="shared" si="2"/>
        <v>76.074074074074076</v>
      </c>
      <c r="E8">
        <f t="shared" si="0"/>
        <v>854</v>
      </c>
      <c r="F8" s="1">
        <f>Table4[[#This Row],[Сумма]]-Table4[[#This Row],[Оплата по банку]]</f>
        <v>977.92592592592587</v>
      </c>
    </row>
    <row r="9" spans="1:6" x14ac:dyDescent="0.3">
      <c r="A9" t="s">
        <v>18</v>
      </c>
      <c r="B9">
        <f t="shared" si="1"/>
        <v>854</v>
      </c>
      <c r="C9">
        <v>200</v>
      </c>
      <c r="D9" s="1">
        <f t="shared" si="2"/>
        <v>76.074074074074076</v>
      </c>
      <c r="E9">
        <f t="shared" si="0"/>
        <v>654</v>
      </c>
      <c r="F9" s="1">
        <f>Table4[[#This Row],[Сумма]]-Table4[[#This Row],[Оплата по банку]]</f>
        <v>777.92592592592587</v>
      </c>
    </row>
    <row r="10" spans="1:6" x14ac:dyDescent="0.3">
      <c r="A10" t="s">
        <v>19</v>
      </c>
      <c r="B10">
        <f t="shared" si="1"/>
        <v>654</v>
      </c>
      <c r="C10">
        <v>200</v>
      </c>
      <c r="D10" s="1">
        <f t="shared" si="2"/>
        <v>76.074074074074076</v>
      </c>
      <c r="E10">
        <f t="shared" si="0"/>
        <v>454</v>
      </c>
      <c r="F10" s="1">
        <f>Table4[[#This Row],[Сумма]]-Table4[[#This Row],[Оплата по банку]]</f>
        <v>577.92592592592587</v>
      </c>
    </row>
    <row r="11" spans="1:6" x14ac:dyDescent="0.3">
      <c r="A11" t="s">
        <v>20</v>
      </c>
      <c r="B11">
        <f t="shared" si="1"/>
        <v>454</v>
      </c>
      <c r="C11">
        <v>200</v>
      </c>
      <c r="D11" s="1">
        <f t="shared" si="2"/>
        <v>76.074074074074076</v>
      </c>
      <c r="E11">
        <f t="shared" si="0"/>
        <v>254</v>
      </c>
      <c r="F11" s="1">
        <f>Table4[[#This Row],[Сумма]]-Table4[[#This Row],[Оплата по банку]]</f>
        <v>377.92592592592592</v>
      </c>
    </row>
    <row r="12" spans="1:6" x14ac:dyDescent="0.3">
      <c r="A12" t="s">
        <v>21</v>
      </c>
      <c r="B12">
        <f t="shared" si="1"/>
        <v>254</v>
      </c>
      <c r="C12">
        <v>200</v>
      </c>
      <c r="D12" s="1">
        <f t="shared" si="2"/>
        <v>76.074074074074076</v>
      </c>
      <c r="E12">
        <f t="shared" si="0"/>
        <v>54</v>
      </c>
      <c r="F12" s="1">
        <f>Table4[[#This Row],[Сумма]]-Table4[[#This Row],[Оплата по банку]]</f>
        <v>177.92592592592592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18080-E92C-4198-BA9E-6B42CABAB564}">
  <dimension ref="A1:D4"/>
  <sheetViews>
    <sheetView workbookViewId="0">
      <selection activeCell="F17" sqref="F17"/>
    </sheetView>
  </sheetViews>
  <sheetFormatPr defaultRowHeight="14.4" x14ac:dyDescent="0.3"/>
  <cols>
    <col min="1" max="1" width="13.44140625" bestFit="1" customWidth="1"/>
    <col min="2" max="2" width="12" customWidth="1"/>
    <col min="4" max="4" width="10.77734375" bestFit="1" customWidth="1"/>
  </cols>
  <sheetData>
    <row r="1" spans="1:4" x14ac:dyDescent="0.3">
      <c r="A1" t="s">
        <v>52</v>
      </c>
      <c r="B1" t="s">
        <v>63</v>
      </c>
      <c r="C1" t="s">
        <v>42</v>
      </c>
      <c r="D1" t="s">
        <v>44</v>
      </c>
    </row>
    <row r="2" spans="1:4" x14ac:dyDescent="0.3">
      <c r="A2" t="s">
        <v>64</v>
      </c>
      <c r="B2">
        <v>360</v>
      </c>
      <c r="C2" t="s">
        <v>7</v>
      </c>
      <c r="D2">
        <v>27.06</v>
      </c>
    </row>
    <row r="3" spans="1:4" x14ac:dyDescent="0.3">
      <c r="A3" t="s">
        <v>65</v>
      </c>
      <c r="B3">
        <v>234</v>
      </c>
      <c r="C3" t="s">
        <v>7</v>
      </c>
      <c r="D3" t="s">
        <v>66</v>
      </c>
    </row>
    <row r="4" spans="1:4" x14ac:dyDescent="0.3">
      <c r="A4" t="s">
        <v>67</v>
      </c>
      <c r="B4">
        <v>283</v>
      </c>
      <c r="C4" t="s">
        <v>7</v>
      </c>
      <c r="D4">
        <v>4.07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Зарплата</vt:lpstr>
      <vt:lpstr>Расходы</vt:lpstr>
      <vt:lpstr>Накопления</vt:lpstr>
      <vt:lpstr>Кредит</vt:lpstr>
      <vt:lpstr>Оплата телефона</vt:lpstr>
      <vt:lpstr>Путешествие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Aziz S. Salimli</dc:creator>
  <cp:lastModifiedBy>Aziz S. Salimli</cp:lastModifiedBy>
  <dcterms:created xsi:type="dcterms:W3CDTF">2026-02-02T05:05:43Z</dcterms:created>
  <dcterms:modified xsi:type="dcterms:W3CDTF">2026-02-16T07:56:40Z</dcterms:modified>
</cp:coreProperties>
</file>